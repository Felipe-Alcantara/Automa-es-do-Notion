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amisa Fúria do Leão" sheetId="1" r:id="rId5"/>
  </sheets>
  <definedNames/>
  <calcPr/>
</workbook>
</file>

<file path=xl/sharedStrings.xml><?xml version="1.0" encoding="utf-8"?>
<sst xmlns="http://schemas.openxmlformats.org/spreadsheetml/2006/main" count="72" uniqueCount="46">
  <si>
    <t>🦁 LISTA CAMISA FÚRIA DO LEÃO</t>
  </si>
  <si>
    <t>Pix: 15169830769</t>
  </si>
  <si>
    <t>Valor: R$ 53</t>
  </si>
  <si>
    <t>Total Camisas</t>
  </si>
  <si>
    <t>Qtd Paga</t>
  </si>
  <si>
    <t>Qtd Pendente</t>
  </si>
  <si>
    <t>Total Esperado</t>
  </si>
  <si>
    <t>Total Arrecadado</t>
  </si>
  <si>
    <t>Restante</t>
  </si>
  <si>
    <t>PEDIDOS</t>
  </si>
  <si>
    <t>Nome</t>
  </si>
  <si>
    <t>Nº Camisa</t>
  </si>
  <si>
    <t>Tamanho</t>
  </si>
  <si>
    <t>Nome na Camisa</t>
  </si>
  <si>
    <t>Valor Total</t>
  </si>
  <si>
    <t>Valor Pago</t>
  </si>
  <si>
    <t>Falta Pagar</t>
  </si>
  <si>
    <t>Status</t>
  </si>
  <si>
    <t>Observações</t>
  </si>
  <si>
    <t>dent1n</t>
  </si>
  <si>
    <t>✅ Pago</t>
  </si>
  <si>
    <t>Susu</t>
  </si>
  <si>
    <t>dent1n (2ª camisa)</t>
  </si>
  <si>
    <t>2D</t>
  </si>
  <si>
    <t>G</t>
  </si>
  <si>
    <t>Ju</t>
  </si>
  <si>
    <t>GG</t>
  </si>
  <si>
    <t>Nathi</t>
  </si>
  <si>
    <t>P</t>
  </si>
  <si>
    <t>Tekø</t>
  </si>
  <si>
    <t>❌ Pendente</t>
  </si>
  <si>
    <t>r7ck</t>
  </si>
  <si>
    <t>David</t>
  </si>
  <si>
    <t>Chiclete</t>
  </si>
  <si>
    <t>Beorth</t>
  </si>
  <si>
    <t>Sem número</t>
  </si>
  <si>
    <t>2XL</t>
  </si>
  <si>
    <t>⏳ Parcial</t>
  </si>
  <si>
    <t>Paga mais 26,50 quando chegar!</t>
  </si>
  <si>
    <t>Berlim</t>
  </si>
  <si>
    <t>Gallahad</t>
  </si>
  <si>
    <t>Pedrão</t>
  </si>
  <si>
    <t>Neném</t>
  </si>
  <si>
    <t>Korath</t>
  </si>
  <si>
    <t>Zanelato</t>
  </si>
  <si>
    <t>Zé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</si>
</sst>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</row>
    <row r="2">
      <c r="A2" s="1" t="s">
        <v>2</v>
      </c>
      <c r="B2" s="1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>
      <c r="A6" s="2">
        <f>COUNTA(A10:A28)</f>
        <v>18</v>
      </c>
      <c r="B6" s="2">
        <f>COUNTIF(H10:H38, "✅ Pago")</f>
        <v>10</v>
      </c>
      <c r="C6" s="2">
        <f>COUNTIF(H10:H38, "❌ Pendente")</f>
        <v>6</v>
      </c>
      <c r="D6" s="2">
        <f>SUM(E10:E38)</f>
        <v>954</v>
      </c>
      <c r="E6" s="1">
        <v>583.0</v>
      </c>
      <c r="F6" s="2">
        <f>SUM(G10:G38)</f>
        <v>371</v>
      </c>
    </row>
    <row r="8">
      <c r="A8" s="1" t="s">
        <v>9</v>
      </c>
    </row>
    <row r="9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</row>
    <row r="10">
      <c r="A10" s="1" t="s">
        <v>19</v>
      </c>
      <c r="B10" s="1">
        <v>11.0</v>
      </c>
      <c r="E10" s="1">
        <v>53.0</v>
      </c>
      <c r="F10" s="1">
        <v>53.0</v>
      </c>
      <c r="G10" s="1">
        <v>0.0</v>
      </c>
      <c r="H10" s="1" t="s">
        <v>20</v>
      </c>
    </row>
    <row r="11">
      <c r="A11" s="1" t="s">
        <v>21</v>
      </c>
      <c r="B11" s="1">
        <v>11.0</v>
      </c>
      <c r="E11" s="1">
        <v>53.0</v>
      </c>
      <c r="F11" s="1">
        <v>53.0</v>
      </c>
      <c r="G11" s="1">
        <v>0.0</v>
      </c>
      <c r="H11" s="1" t="s">
        <v>20</v>
      </c>
    </row>
    <row r="12">
      <c r="A12" s="1" t="s">
        <v>22</v>
      </c>
      <c r="B12" s="1">
        <v>11.0</v>
      </c>
      <c r="E12" s="1">
        <v>53.0</v>
      </c>
      <c r="F12" s="1">
        <v>53.0</v>
      </c>
      <c r="G12" s="1">
        <v>0.0</v>
      </c>
      <c r="H12" s="1" t="s">
        <v>20</v>
      </c>
    </row>
    <row r="13">
      <c r="A13" s="1" t="s">
        <v>23</v>
      </c>
      <c r="B13" s="1">
        <v>777.0</v>
      </c>
      <c r="C13" s="1" t="s">
        <v>24</v>
      </c>
      <c r="E13" s="1">
        <v>53.0</v>
      </c>
      <c r="F13" s="1">
        <v>53.0</v>
      </c>
      <c r="G13" s="1">
        <v>0.0</v>
      </c>
      <c r="H13" s="1" t="s">
        <v>20</v>
      </c>
    </row>
    <row r="14">
      <c r="A14" s="1" t="s">
        <v>25</v>
      </c>
      <c r="B14" s="1">
        <v>777.0</v>
      </c>
      <c r="C14" s="1" t="s">
        <v>26</v>
      </c>
      <c r="E14" s="1">
        <v>53.0</v>
      </c>
      <c r="F14" s="1">
        <v>53.0</v>
      </c>
      <c r="G14" s="1">
        <v>0.0</v>
      </c>
      <c r="H14" s="1" t="s">
        <v>20</v>
      </c>
    </row>
    <row r="15">
      <c r="A15" s="1" t="s">
        <v>27</v>
      </c>
      <c r="B15" s="1">
        <v>777.0</v>
      </c>
      <c r="C15" s="1" t="s">
        <v>28</v>
      </c>
      <c r="E15" s="1">
        <v>53.0</v>
      </c>
      <c r="F15" s="1">
        <v>53.0</v>
      </c>
      <c r="G15" s="1">
        <v>0.0</v>
      </c>
      <c r="H15" s="1" t="s">
        <v>20</v>
      </c>
    </row>
    <row r="16">
      <c r="A16" s="1" t="s">
        <v>29</v>
      </c>
      <c r="B16" s="1">
        <v>444.0</v>
      </c>
      <c r="E16" s="1">
        <v>53.0</v>
      </c>
      <c r="F16" s="1">
        <v>0.0</v>
      </c>
      <c r="G16" s="1">
        <v>53.0</v>
      </c>
      <c r="H16" s="1" t="s">
        <v>30</v>
      </c>
    </row>
    <row r="17">
      <c r="A17" s="1" t="s">
        <v>31</v>
      </c>
      <c r="B17" s="1">
        <v>7.0</v>
      </c>
      <c r="E17" s="1">
        <v>53.0</v>
      </c>
      <c r="F17" s="1">
        <v>0.0</v>
      </c>
      <c r="G17" s="1">
        <v>53.0</v>
      </c>
      <c r="H17" s="1" t="s">
        <v>30</v>
      </c>
    </row>
    <row r="18">
      <c r="A18" s="1" t="s">
        <v>32</v>
      </c>
      <c r="B18" s="1">
        <v>10.0</v>
      </c>
      <c r="E18" s="1">
        <v>53.0</v>
      </c>
      <c r="F18" s="1">
        <v>53.0</v>
      </c>
      <c r="G18" s="2">
        <f>E19-F19</f>
        <v>0</v>
      </c>
      <c r="H18" s="2" t="str">
        <f>IF(G19=0, "✅ Pago", IF(F19&gt;0, "⏳ Parcial", "❌ Pendente"))</f>
        <v>✅ Pago</v>
      </c>
    </row>
    <row r="19">
      <c r="A19" s="1" t="s">
        <v>33</v>
      </c>
      <c r="B19" s="1">
        <v>67.0</v>
      </c>
      <c r="E19" s="1">
        <v>53.0</v>
      </c>
      <c r="F19" s="1">
        <v>53.0</v>
      </c>
      <c r="G19" s="1">
        <v>0.0</v>
      </c>
      <c r="H19" s="1" t="s">
        <v>20</v>
      </c>
    </row>
    <row r="20">
      <c r="A20" s="1" t="s">
        <v>34</v>
      </c>
      <c r="B20" s="1" t="s">
        <v>35</v>
      </c>
      <c r="C20" s="1" t="s">
        <v>36</v>
      </c>
      <c r="E20" s="1">
        <v>53.0</v>
      </c>
      <c r="F20" s="1">
        <v>26.5</v>
      </c>
      <c r="G20" s="1">
        <v>26.5</v>
      </c>
      <c r="H20" s="1" t="s">
        <v>37</v>
      </c>
      <c r="I20" s="1" t="s">
        <v>38</v>
      </c>
    </row>
    <row r="21">
      <c r="A21" s="1" t="s">
        <v>39</v>
      </c>
      <c r="B21" s="1">
        <v>44.0</v>
      </c>
      <c r="C21" s="1" t="s">
        <v>24</v>
      </c>
      <c r="E21" s="1">
        <v>53.0</v>
      </c>
      <c r="F21" s="1">
        <v>0.0</v>
      </c>
      <c r="G21" s="1">
        <v>53.0</v>
      </c>
      <c r="H21" s="1" t="s">
        <v>30</v>
      </c>
    </row>
    <row r="22">
      <c r="A22" s="1" t="s">
        <v>40</v>
      </c>
      <c r="B22" s="1" t="s">
        <v>35</v>
      </c>
      <c r="C22" s="1" t="s">
        <v>26</v>
      </c>
      <c r="E22" s="1">
        <v>53.0</v>
      </c>
      <c r="F22" s="1">
        <v>0.0</v>
      </c>
      <c r="G22" s="1">
        <v>53.0</v>
      </c>
      <c r="H22" s="1" t="s">
        <v>30</v>
      </c>
    </row>
    <row r="23">
      <c r="A23" s="1" t="s">
        <v>41</v>
      </c>
      <c r="B23" s="1" t="s">
        <v>35</v>
      </c>
      <c r="C23" s="1" t="s">
        <v>24</v>
      </c>
      <c r="E23" s="1">
        <v>53.0</v>
      </c>
      <c r="F23" s="1">
        <v>26.5</v>
      </c>
      <c r="G23" s="1">
        <v>26.5</v>
      </c>
      <c r="H23" s="1" t="s">
        <v>37</v>
      </c>
      <c r="I23" s="1" t="s">
        <v>38</v>
      </c>
    </row>
    <row r="24">
      <c r="A24" s="1" t="s">
        <v>42</v>
      </c>
      <c r="B24" s="1">
        <v>8.0</v>
      </c>
      <c r="C24" s="1" t="s">
        <v>24</v>
      </c>
      <c r="E24" s="1">
        <v>53.0</v>
      </c>
      <c r="F24" s="1">
        <v>53.0</v>
      </c>
      <c r="G24" s="1">
        <v>0.0</v>
      </c>
      <c r="H24" s="1" t="s">
        <v>20</v>
      </c>
    </row>
    <row r="25">
      <c r="A25" s="1" t="s">
        <v>43</v>
      </c>
      <c r="B25" s="1" t="s">
        <v>35</v>
      </c>
      <c r="C25" s="1" t="s">
        <v>24</v>
      </c>
      <c r="E25" s="1">
        <v>53.0</v>
      </c>
      <c r="F25" s="1">
        <v>53.0</v>
      </c>
      <c r="G25" s="1">
        <v>0.0</v>
      </c>
      <c r="H25" s="1" t="s">
        <v>20</v>
      </c>
    </row>
    <row r="26">
      <c r="A26" s="1" t="s">
        <v>44</v>
      </c>
      <c r="B26" s="1">
        <v>17.0</v>
      </c>
      <c r="C26" s="1" t="s">
        <v>24</v>
      </c>
      <c r="E26" s="1">
        <v>53.0</v>
      </c>
      <c r="F26" s="1">
        <v>0.0</v>
      </c>
      <c r="G26" s="2">
        <f>E27-F27</f>
        <v>53</v>
      </c>
      <c r="H26" s="1" t="s">
        <v>30</v>
      </c>
    </row>
    <row r="27">
      <c r="A27" s="1" t="s">
        <v>45</v>
      </c>
      <c r="B27" s="1" t="s">
        <v>35</v>
      </c>
      <c r="C27" s="1" t="s">
        <v>26</v>
      </c>
      <c r="E27" s="1">
        <v>53.0</v>
      </c>
      <c r="F27" s="1">
        <v>0.0</v>
      </c>
      <c r="G27" s="1">
        <v>53.0</v>
      </c>
      <c r="H27" s="1" t="s">
        <v>30</v>
      </c>
    </row>
  </sheetData>
  <drawing r:id="rId1"/>
</worksheet>
</file>