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📋 Cadastro Contas" sheetId="2" r:id="rId5"/>
    <sheet state="visible" name="📈 Desempenho Semanal" sheetId="3" r:id="rId6"/>
    <sheet state="visible" name="👥 Membros &amp; Afiliados" sheetId="4" r:id="rId7"/>
    <sheet state="visible" name="🎬 Controle Conteúdo" sheetId="5" r:id="rId8"/>
    <sheet state="visible" name="💰 Verba &amp; Anúncios" sheetId="6" r:id="rId9"/>
    <sheet state="visible" name="📝 Relatório Semanal" sheetId="7" r:id="rId10"/>
    <sheet state="visible" name="🚀 Projeção 12 Meses" sheetId="8" r:id="rId11"/>
    <sheet state="visible" name="✅ Checklist Equipe" sheetId="9" r:id="rId12"/>
    <sheet state="visible" name="📖 Instruções" sheetId="10" r:id="rId13"/>
  </sheets>
  <definedNames/>
  <calcPr/>
  <extLst>
    <ext uri="GoogleSheetsCustomDataVersion2">
      <go:sheetsCustomData xmlns:go="http://customooxmlschemas.google.com/" r:id="rId14" roundtripDataChecksum="ktLsCyXhvVjD82BlMR45IY6TaRUvfE88VSbfIr8FrXw="/>
    </ext>
  </extLst>
</workbook>
</file>

<file path=xl/sharedStrings.xml><?xml version="1.0" encoding="utf-8"?>
<sst xmlns="http://schemas.openxmlformats.org/spreadsheetml/2006/main" count="5583" uniqueCount="750">
  <si>
    <t>🏆 DESCONTOS VIP — CENTRAL DE CONTROLE 180 CONTAS</t>
  </si>
  <si>
    <t>Painel de Monitoramento Completo | Atualizar todo Domingo</t>
  </si>
  <si>
    <t>👥 MEMBROS
NOVOS</t>
  </si>
  <si>
    <t>📈 TOTAL
ACUMULADO</t>
  </si>
  <si>
    <t>🤝 AFILIADOS
ATIVOS</t>
  </si>
  <si>
    <t>💰 COMISSÃO
GERADA R$</t>
  </si>
  <si>
    <t>🌐 ALCANCE
TOTAL</t>
  </si>
  <si>
    <t>🔗 CLIQUES
NO LINK</t>
  </si>
  <si>
    <t>💸 VERBA
INVESTIDA R$</t>
  </si>
  <si>
    <t>⭐ NOTA
0-10</t>
  </si>
  <si>
    <t>📱 RESUMO POR PLATAFORMA — SEMANA ATUAL</t>
  </si>
  <si>
    <t>PLATAFORMA</t>
  </si>
  <si>
    <t>CONTAS ATIVAS</t>
  </si>
  <si>
    <t>POSTS SEMANA</t>
  </si>
  <si>
    <t>ALCANCE</t>
  </si>
  <si>
    <t>ENGAJAMENTO</t>
  </si>
  <si>
    <t>CLIQUES LINK</t>
  </si>
  <si>
    <t>MEMBROS GERADOS</t>
  </si>
  <si>
    <t>AFILIADOS GERADOS</t>
  </si>
  <si>
    <t>VERBA R$</t>
  </si>
  <si>
    <t>CUSTO/MEMBRO R$</t>
  </si>
  <si>
    <t>SEGUIDORES TOTAL</t>
  </si>
  <si>
    <t>MELHOR POST</t>
  </si>
  <si>
    <t>NOTA</t>
  </si>
  <si>
    <t>TENDÊNCIA</t>
  </si>
  <si>
    <t>AÇÃO</t>
  </si>
  <si>
    <t>📸 Instagram</t>
  </si>
  <si>
    <t>🎵 TikTok</t>
  </si>
  <si>
    <t>👥 Facebook</t>
  </si>
  <si>
    <t>📹 Kwai</t>
  </si>
  <si>
    <t>▶️ YouTube Shorts</t>
  </si>
  <si>
    <t>📌 Pinterest</t>
  </si>
  <si>
    <t>💬 WhatsApp</t>
  </si>
  <si>
    <t>TOTAL</t>
  </si>
  <si>
    <t>📋 CADASTRO COMPLETO — 180 CONTAS DESCONTOS VIP</t>
  </si>
  <si>
    <t>Registre os dados de acesso e configuração de cada conta</t>
  </si>
  <si>
    <t>#</t>
  </si>
  <si>
    <t>NOME DA CONTA</t>
  </si>
  <si>
    <t>TIPO DE CONTA</t>
  </si>
  <si>
    <t>NICHO</t>
  </si>
  <si>
    <t>USUÁRIO/EMAIL</t>
  </si>
  <si>
    <t>SENHA</t>
  </si>
  <si>
    <t>TELEFONE/CHIP</t>
  </si>
  <si>
    <t>DATA CRIAÇÃO</t>
  </si>
  <si>
    <t>STATUS</t>
  </si>
  <si>
    <t>BIO CONFIGURADA</t>
  </si>
  <si>
    <t>LINK NA BIO</t>
  </si>
  <si>
    <t>FOTO PERFIL</t>
  </si>
  <si>
    <t>SEGUIDORES INICIAL</t>
  </si>
  <si>
    <t>SEGUIDORES ATUAL</t>
  </si>
  <si>
    <t>POSTS TOTAL</t>
  </si>
  <si>
    <t>OBSERVAÇÕES</t>
  </si>
  <si>
    <t>RESPONSÁVEL</t>
  </si>
  <si>
    <t>Tiago - Avatar Rafael</t>
  </si>
  <si>
    <t>estrela_instagram</t>
  </si>
  <si>
    <t>Instagram</t>
  </si>
  <si>
    <t>Estrela</t>
  </si>
  <si>
    <t>Geral</t>
  </si>
  <si>
    <t>faelestrategista@gmail.com</t>
  </si>
  <si>
    <t>vitisrafa123</t>
  </si>
  <si>
    <t>✅ Configurada</t>
  </si>
  <si>
    <t>SIM</t>
  </si>
  <si>
    <t>https://www.instagram.com/faelestrategista/</t>
  </si>
  <si>
    <t>Tiago</t>
  </si>
  <si>
    <t>estrela_tiktok</t>
  </si>
  <si>
    <t>TikTok</t>
  </si>
  <si>
    <t>vitisrafa123#</t>
  </si>
  <si>
    <t>https://www.tiktok.com/@faelestrategista</t>
  </si>
  <si>
    <t>estrela_facebook</t>
  </si>
  <si>
    <t>Facebook</t>
  </si>
  <si>
    <t>https://www.facebook.com/profile.php?id=61590030976750</t>
  </si>
  <si>
    <t>estrela_kwai</t>
  </si>
  <si>
    <t>Kwai</t>
  </si>
  <si>
    <t>https://k.kwai.com/u/@rafaelestrateg/ACJJyas8</t>
  </si>
  <si>
    <t>estrela_Youtube</t>
  </si>
  <si>
    <t>Youtube</t>
  </si>
  <si>
    <t>https://www.youtube.com/@RafaelEstrategia</t>
  </si>
  <si>
    <t>André - Avatar Bruno</t>
  </si>
  <si>
    <t xml:space="preserve">brunosilvasixs@gmail.com
</t>
  </si>
  <si>
    <t xml:space="preserve">obrunosilva2000
</t>
  </si>
  <si>
    <t>Vitis@2026</t>
  </si>
  <si>
    <t>NÃO</t>
  </si>
  <si>
    <t>https://www.instagram.com/obrunosilva2000</t>
  </si>
  <si>
    <t>André</t>
  </si>
  <si>
    <t>127 visualizações</t>
  </si>
  <si>
    <t xml:space="preserve">brun0silva_
</t>
  </si>
  <si>
    <t>https://www.tiktok.com/@brun0silva_</t>
  </si>
  <si>
    <t>Bruno Silva</t>
  </si>
  <si>
    <t>https://www.facebook.com/profile.php?id=61590427859594</t>
  </si>
  <si>
    <t>130 visualizações</t>
  </si>
  <si>
    <t xml:space="preserve">BrunoSilvaVIP
</t>
  </si>
  <si>
    <t>https://www.kwai.com/@BrunoSilvaVIP</t>
  </si>
  <si>
    <t>1.6k visualizações</t>
  </si>
  <si>
    <t xml:space="preserve">BrunoSilvaVIP
</t>
  </si>
  <si>
    <t>https://www.youtube.com/@BrunoSilvaVIP</t>
  </si>
  <si>
    <t>67 visualizações</t>
  </si>
  <si>
    <t>Felipe - Avatar Lívia</t>
  </si>
  <si>
    <t>liviainfluencer1@gmail.com</t>
  </si>
  <si>
    <t>liviainfluencer1</t>
  </si>
  <si>
    <t>vitis2026</t>
  </si>
  <si>
    <t>Conta nova</t>
  </si>
  <si>
    <t>Felipe</t>
  </si>
  <si>
    <t>79 Visualizacoes</t>
  </si>
  <si>
    <t>livia_influencer</t>
  </si>
  <si>
    <t>35 Visualizacoes</t>
  </si>
  <si>
    <t xml:space="preserve">Livia Influencer </t>
  </si>
  <si>
    <t>Postei o video e deu 200 Views</t>
  </si>
  <si>
    <t>201 visualizacoes</t>
  </si>
  <si>
    <t>Nao consegui postar nenhum video</t>
  </si>
  <si>
    <t>Postei mais um video hoje</t>
  </si>
  <si>
    <t>92 visualizacoes</t>
  </si>
  <si>
    <t>Gabriel - Avatar Camila</t>
  </si>
  <si>
    <t>camilinhaferrazz5@gmail.com</t>
  </si>
  <si>
    <t>camila_ferrazsilv</t>
  </si>
  <si>
    <t>Camila Ferraz Silveira (@camila_ferrazsilv) • Ảnh và video trên Instagram</t>
  </si>
  <si>
    <t>Gabriel</t>
  </si>
  <si>
    <t>64 visualizações</t>
  </si>
  <si>
    <t>camila_influencerr</t>
  </si>
  <si>
    <t>https://www.tiktok.com/@camila_influencerr</t>
  </si>
  <si>
    <t>0 visualizações</t>
  </si>
  <si>
    <t>Camila Ferraz</t>
  </si>
  <si>
    <t>https://www.facebook.com/profile.php?id=61590071625339&amp;sk=reels_tab</t>
  </si>
  <si>
    <t xml:space="preserve">  
 https://k.kwai.com/u/@camilaferraz298/CXyECOxR</t>
  </si>
  <si>
    <t>Camilinhaa</t>
  </si>
  <si>
    <t>https://www.youtube.com/channel/UCC11laBsTMbECJQ4iNMNx6g</t>
  </si>
  <si>
    <t>42 visualizações</t>
  </si>
  <si>
    <t>nicho_geral_instagram</t>
  </si>
  <si>
    <t>Nicho</t>
  </si>
  <si>
    <t>rendaonlinevip2 - rendaonline501@gmail.com</t>
  </si>
  <si>
    <t>Primeiro video tomou shadow, vou postar o segundo</t>
  </si>
  <si>
    <t>Postei o segundo video agora, ainda nenhuma view</t>
  </si>
  <si>
    <t>nicho_mães_instagram</t>
  </si>
  <si>
    <t>Mães</t>
  </si>
  <si>
    <t>claudiaotx@gmail.com</t>
  </si>
  <si>
    <t>claudia.2000</t>
  </si>
  <si>
    <t>https://www.instagram.com/claudiaotx/</t>
  </si>
  <si>
    <t>Matheus</t>
  </si>
  <si>
    <t>nicho_jovens_18-25_instagram</t>
  </si>
  <si>
    <t>Jovens 18-25</t>
  </si>
  <si>
    <t>nicho_clt_instagram</t>
  </si>
  <si>
    <t>CLT</t>
  </si>
  <si>
    <t xml:space="preserve"> ganhointeligente8@gmail.com </t>
  </si>
  <si>
    <t>https://www.instagram.com/will_per26/</t>
  </si>
  <si>
    <t>nicho_empreendedores_instagram</t>
  </si>
  <si>
    <t>Empreendedores</t>
  </si>
  <si>
    <t>https://www.instagram.com/arthurfer87/</t>
  </si>
  <si>
    <t>nicho_viajantes_instagram</t>
  </si>
  <si>
    <t>Viajantes</t>
  </si>
  <si>
    <t>luiscarlosviagens@gmail.com</t>
  </si>
  <si>
    <t>nicho_dona_de_casa_instagram</t>
  </si>
  <si>
    <t>Dona de Casa</t>
  </si>
  <si>
    <t>monicasil320@gmail.com</t>
  </si>
  <si>
    <t>Silva_320</t>
  </si>
  <si>
    <t>https://www.instagram.com/monicasil320/</t>
  </si>
  <si>
    <t>keiti</t>
  </si>
  <si>
    <t>nicho_estudantes_instagram</t>
  </si>
  <si>
    <t>Estudantes</t>
  </si>
  <si>
    <t>joaopaulinhoest@gmail.com</t>
  </si>
  <si>
    <t>estudantepaulo</t>
  </si>
  <si>
    <t>https://www.instagram.com/joaopaulinhoest/</t>
  </si>
  <si>
    <t>nicho_casais_instagram</t>
  </si>
  <si>
    <t>Casais</t>
  </si>
  <si>
    <t>pedrojuliaeconomizando@gmail.com</t>
  </si>
  <si>
    <t>Casal10New</t>
  </si>
  <si>
    <t>https://www.instagram.com/pedrojuliaeconomizando/</t>
  </si>
  <si>
    <t>nicho_fitness_instagram</t>
  </si>
  <si>
    <t>Fitness</t>
  </si>
  <si>
    <t>luziammoreira@gmail.com</t>
  </si>
  <si>
    <t>moreira9</t>
  </si>
  <si>
    <t>https://www.instagram.com/luziammoreira9/</t>
  </si>
  <si>
    <t>nicho_fashionistas_instagram</t>
  </si>
  <si>
    <t>Fashionistas</t>
  </si>
  <si>
    <t>ofertasestrategicas.2026@gmail.com/aline_eu_aline</t>
  </si>
  <si>
    <t>https://www.instagram.com/aline_eu_aline/</t>
  </si>
  <si>
    <t>Pauliana</t>
  </si>
  <si>
    <t>nicho_motoristas_instagram</t>
  </si>
  <si>
    <t>Motoristas</t>
  </si>
  <si>
    <t>https://www.instagram.com/_caio_revendas/</t>
  </si>
  <si>
    <t>nicho_professores_instagram</t>
  </si>
  <si>
    <t>Professores</t>
  </si>
  <si>
    <t xml:space="preserve">fernandapavanelliprof@gmail.com
</t>
  </si>
  <si>
    <t>nicho_revendedores_instagram</t>
  </si>
  <si>
    <t>Revendedores</t>
  </si>
  <si>
    <t xml:space="preserve"> ganhointeligente8@gmail.com /Caio</t>
  </si>
  <si>
    <t>https://www.instagram.com/caio_vidareal?utm_source=ig_web_button_share_sheet&amp;igsh=ZDNlZDc0MzIxNw==</t>
  </si>
  <si>
    <t>nicho_geral_tiktok</t>
  </si>
  <si>
    <t>fernandapavanelliprof@gmail.com</t>
  </si>
  <si>
    <t>vitis2026.</t>
  </si>
  <si>
    <t>https://www.tiktok.com/@descontos_vip_</t>
  </si>
  <si>
    <t>nicho_mães_tiktok</t>
  </si>
  <si>
    <t>https://www.tiktok.com/@claudiatx1</t>
  </si>
  <si>
    <t>nicho_jovens_18-25_tiktok</t>
  </si>
  <si>
    <t>⚠️ Em Config.</t>
  </si>
  <si>
    <t>nicho_clt_tiktok</t>
  </si>
  <si>
    <t>perreirawilliam127@gmail.com</t>
  </si>
  <si>
    <t>vswill.2026</t>
  </si>
  <si>
    <t>https://www.tiktok.com/@will_p64</t>
  </si>
  <si>
    <t>nicho_empreendedores_tiktok</t>
  </si>
  <si>
    <t>vsarthur2026@gmail.com</t>
  </si>
  <si>
    <t>vsarthur.2000</t>
  </si>
  <si>
    <t>https://www.tiktok.com/@arthurfer29</t>
  </si>
  <si>
    <t>nicho_viajantes_tiktok</t>
  </si>
  <si>
    <t>nicho_dona_de_casa_tiktok</t>
  </si>
  <si>
    <t>nicho_estudantes_tiktok</t>
  </si>
  <si>
    <t>Estudante-paulo1</t>
  </si>
  <si>
    <t>nicho_casais_tiktok</t>
  </si>
  <si>
    <t>Casal10New#</t>
  </si>
  <si>
    <t>https://www.tiktok.com/@pedrojueconomizando</t>
  </si>
  <si>
    <t>TIAGO</t>
  </si>
  <si>
    <t>nicho_fitness_tiktok</t>
  </si>
  <si>
    <t>luziammoreira9@gmail.com</t>
  </si>
  <si>
    <t>nicho_fashionistas_tiktok</t>
  </si>
  <si>
    <t>ofertasestrategicas.2026@gmail.com / ALINE</t>
  </si>
  <si>
    <t>27/95/2026</t>
  </si>
  <si>
    <t>https://www.tiktok.com/@_souaaline?_r=1&amp;_t=ZS-96i0gFXBnrF</t>
  </si>
  <si>
    <t xml:space="preserve">Pauliana </t>
  </si>
  <si>
    <t>nicho_motoristas_tiktok</t>
  </si>
  <si>
    <t>nicho_professores_tiktok</t>
  </si>
  <si>
    <t>matheustemporario6@gmail.com</t>
  </si>
  <si>
    <t>vsmatheus.2026</t>
  </si>
  <si>
    <t>https://www.facebook.com/profile.php?id=61589428682703</t>
  </si>
  <si>
    <t>Conta caiu, precisei criar outra! Ja esta normal.</t>
  </si>
  <si>
    <t>nicho_revendedores_tiktok</t>
  </si>
  <si>
    <t xml:space="preserve"> ofertasestrategicas.2026@gmail.com /CAIO</t>
  </si>
  <si>
    <t>https://www.tiktok.com/@caio.revendas?_r=1&amp;_t=ZS-96iawPZsAvh</t>
  </si>
  <si>
    <t>nicho_geral_facebook</t>
  </si>
  <si>
    <t>nicho_mães_facebook</t>
  </si>
  <si>
    <t>https://www.facebook.com/profile.php?id=61590109213244</t>
  </si>
  <si>
    <t>nicho_jovens_18-25_facebook</t>
  </si>
  <si>
    <t>nicho_clt_facebook</t>
  </si>
  <si>
    <t>https://www.facebook.com/people/Will-Pereira/61590427557380/</t>
  </si>
  <si>
    <t>nicho_empreendedores_facebook</t>
  </si>
  <si>
    <t>vsarthur2026</t>
  </si>
  <si>
    <t>SM</t>
  </si>
  <si>
    <t>https://www.facebook.com/profile.php?id=61590498387161</t>
  </si>
  <si>
    <t>nicho_viajantes_facebook</t>
  </si>
  <si>
    <t>nicho_dona_de_casa_facebook</t>
  </si>
  <si>
    <t>https://www.facebook.com/profile.php?id=61590087074694</t>
  </si>
  <si>
    <t>nicho_estudantes_facebook</t>
  </si>
  <si>
    <t>Pauloestudante</t>
  </si>
  <si>
    <t>https://www.facebook.com/profile.php?id=61590083235516</t>
  </si>
  <si>
    <t>nicho_casais_facebook</t>
  </si>
  <si>
    <t>https://www.facebook.com/profile.php?id=61590475557436</t>
  </si>
  <si>
    <t>nicho_fitness_facebook</t>
  </si>
  <si>
    <t>Moreira9_@</t>
  </si>
  <si>
    <t>https://www.facebook.com/profile.php?id=61590508976995</t>
  </si>
  <si>
    <t>nicho_fashionistas_facebook</t>
  </si>
  <si>
    <t>https://www.facebook.com/estrategiaseconomicas?</t>
  </si>
  <si>
    <t>nicho_motoristas_facebook</t>
  </si>
  <si>
    <t>Sim</t>
  </si>
  <si>
    <t>nicho_professores_facebook</t>
  </si>
  <si>
    <t>nicho_revendedores_facebook</t>
  </si>
  <si>
    <t>https://www.facebook.com/profile.php?id=61572132483103&amp;mibextid=wwXIfr&amp;mibextid=wwXIfr</t>
  </si>
  <si>
    <t>nicho_geral_kwai</t>
  </si>
  <si>
    <t>nicho_mães_kwai</t>
  </si>
  <si>
    <t>nicho_jovens_18-25_kwai</t>
  </si>
  <si>
    <t>nicho_clt_kwai</t>
  </si>
  <si>
    <t>nicho_empreendedores_kwai</t>
  </si>
  <si>
    <t>nicho_viajantes_kwai</t>
  </si>
  <si>
    <t>nicho_dona_de_casa_kwai</t>
  </si>
  <si>
    <t>nicho_estudantes_kwai</t>
  </si>
  <si>
    <t>nicho_casais_kwai</t>
  </si>
  <si>
    <t>nicho_fitness_kwai</t>
  </si>
  <si>
    <t>nicho_fashionistas_kwai</t>
  </si>
  <si>
    <t>https://k.kwai.com/u/@souaaline/kMzwqCkj</t>
  </si>
  <si>
    <t>nicho_motoristas_kwai</t>
  </si>
  <si>
    <t xml:space="preserve">NÃO </t>
  </si>
  <si>
    <t>nicho_professores_kwai</t>
  </si>
  <si>
    <t>nicho_revendedores_kwai</t>
  </si>
  <si>
    <t>escalada.financeira2@gmail.com /CAIO</t>
  </si>
  <si>
    <t>https://k.kwai.com/u/@Caio.Revenda/EyCRWv1W</t>
  </si>
  <si>
    <t>https://www.youtube.com/@Thalita-d4w</t>
  </si>
  <si>
    <t>https://www.youtube.com/@Claudia-123-x2l</t>
  </si>
  <si>
    <t>vswill2026</t>
  </si>
  <si>
    <t>https://www.youtube.com/channel/UCwnX0ei5J40HvXpsYa1BCfw</t>
  </si>
  <si>
    <t>https://www.youtube.com/channel/UC0kG7dkbP5boLXOM8URTnlA</t>
  </si>
  <si>
    <t>nicho_viajantes_youtube</t>
  </si>
  <si>
    <t>https://www.youtube.com/@monicasilvamonica-o1o</t>
  </si>
  <si>
    <t>joaopaulinhoest@gamil.com</t>
  </si>
  <si>
    <t>https://www.youtube.com/@Jo%C3%A3oPaulo-r1i1u</t>
  </si>
  <si>
    <t>https://www.youtube.com/@PedroJulia-t4r</t>
  </si>
  <si>
    <t>29/05/0206</t>
  </si>
  <si>
    <t>https://www.youtube.com/@Luzia-c6z</t>
  </si>
  <si>
    <t>CANAL REMOVIDO</t>
  </si>
  <si>
    <t>ofertasestrategicas.2026@gmail.com</t>
  </si>
  <si>
    <t xml:space="preserve">Bloqueado YouTube </t>
  </si>
  <si>
    <t>https://www.youtube.com/channel/UCbgHTqOPyHtBUgj_0sak8Ew</t>
  </si>
  <si>
    <t xml:space="preserve"> vidaeconomica1@gmail.com  / MATEUS</t>
  </si>
  <si>
    <t>apoio_instagram_01</t>
  </si>
  <si>
    <t>Apoio</t>
  </si>
  <si>
    <t>ofertasestrategicas.2026@gmail.com / vidaeconomica1@gmail.com/ANGELA</t>
  </si>
  <si>
    <t>https://www.instagram.com/angela_vida_real?igsh=MWhjM3RiYzNqZm9wcA%3D%3D&amp;utm_source=qr</t>
  </si>
  <si>
    <t>apoio_instagram_02</t>
  </si>
  <si>
    <t>ofertasestrategicas.2026@gmail.com /Financas.Avante - HENRIQUE</t>
  </si>
  <si>
    <t>https://www.instagram.com/_henrique_metas?igsh=YWVjeWt6dDQwYXVo&amp;utm_source=qr</t>
  </si>
  <si>
    <t>apoio_instagram_03</t>
  </si>
  <si>
    <t>ofertasestrategicas.2026@gmail.com- marta_medeirosOs</t>
  </si>
  <si>
    <t>apoio_instagram_04</t>
  </si>
  <si>
    <t>ofertasestrategicas.2026@gmail.com/ Ganho.inteligente8 - RAQUEL</t>
  </si>
  <si>
    <t>https://www.instagram.com/raquel_por_raquel?igsh=MXdhN2Fhd3B3ZGZ1MA%3D%3D&amp;utm_source=qr</t>
  </si>
  <si>
    <t>apoio_instagram_05</t>
  </si>
  <si>
    <t>soniaferreirasilveira2@gmail.com/ @soniaferreirasilveira2</t>
  </si>
  <si>
    <t>apoio_instagram_06</t>
  </si>
  <si>
    <t>https://www.instagram.com/thalitinhac/</t>
  </si>
  <si>
    <t>Conta suspensa</t>
  </si>
  <si>
    <t>apoio_instagram_07</t>
  </si>
  <si>
    <t>MarcoApoioInsta@hotmail.com</t>
  </si>
  <si>
    <t>apoio_instagram_08</t>
  </si>
  <si>
    <t>apoio_instagram_09</t>
  </si>
  <si>
    <t>joaobosco2026@yahoo.com</t>
  </si>
  <si>
    <t>JB26DescVIP</t>
  </si>
  <si>
    <t>sim</t>
  </si>
  <si>
    <t>https://www.instagram.com/joaobosco20262026/</t>
  </si>
  <si>
    <t>apoio_instagram_10</t>
  </si>
  <si>
    <t>clubededesconto45@gmail.com /Claudio</t>
  </si>
  <si>
    <t>https://www.instagram.com/_claudio_2026?igsh=MWZxNjZ0bGJ3ZDh1eg%3D%3D&amp;utm_source=qr</t>
  </si>
  <si>
    <t>apoio_instagram_11</t>
  </si>
  <si>
    <t>clubedorendimento23@gmail.com /Fernanda</t>
  </si>
  <si>
    <t>https://www.instagram.com/afer_nanda.a?igsh=Y21vd2pleTFkOGJt&amp;utm_source=qr</t>
  </si>
  <si>
    <t>apoio_instagram_12</t>
  </si>
  <si>
    <t>apoio_instagram_13</t>
  </si>
  <si>
    <t>apoio_instagram_14</t>
  </si>
  <si>
    <t>mariaclara.a35@yahoo.com</t>
  </si>
  <si>
    <t>vs2026mc</t>
  </si>
  <si>
    <t>apoio_instagram_15</t>
  </si>
  <si>
    <t>apoio_instagram_16</t>
  </si>
  <si>
    <t>apoio_instagram_17</t>
  </si>
  <si>
    <t>apoio_instagram_18</t>
  </si>
  <si>
    <t>apoio_instagram_19</t>
  </si>
  <si>
    <t>apoio_instagram_20</t>
  </si>
  <si>
    <t>muniztbfreelancer@gmail.com / v1v1mendes</t>
  </si>
  <si>
    <t>$bPu7$LzbGiUY!L</t>
  </si>
  <si>
    <t>https://www.instagram.com/v1v1mendes/</t>
  </si>
  <si>
    <t>apoio_tiktok_01</t>
  </si>
  <si>
    <t xml:space="preserve"> vidaeconomica1@gmail.com / Angela</t>
  </si>
  <si>
    <t>https://www.tiktok.com/@amgela_vida_real?_r=1&amp;_t=ZS-96jzGhZnGCW</t>
  </si>
  <si>
    <t>apoio_tiktok_02</t>
  </si>
  <si>
    <t>avante.financas1@gmail.com / HENRIQUE</t>
  </si>
  <si>
    <t>https://www.tiktok.com/@henrique.metas?_r=1&amp;_t=ZS-96k8lz2aax7</t>
  </si>
  <si>
    <t>apoio_tiktok_03</t>
  </si>
  <si>
    <t xml:space="preserve"> rendaonline501@gmail.com / Raquel</t>
  </si>
  <si>
    <t>https://www.tiktok.com/@raquel_por_raquel?_r=1&amp;_t=ZS-96kCkhi72YL</t>
  </si>
  <si>
    <t>apoio_tiktok_04</t>
  </si>
  <si>
    <t>thalitinhac@outlook.com</t>
  </si>
  <si>
    <t>vsthalita.2026</t>
  </si>
  <si>
    <t>https://www.tiktok.com/@thalitinha_c</t>
  </si>
  <si>
    <t>apoio_tiktok_05</t>
  </si>
  <si>
    <t>apoio_tiktok_06</t>
  </si>
  <si>
    <t>apoio_tiktok_07</t>
  </si>
  <si>
    <t>https://www.tiktok.com/@_claudio_vidareal?_r=1&amp;_t=ZS-96m269gujXV</t>
  </si>
  <si>
    <t>apoio_tiktok_08</t>
  </si>
  <si>
    <t>https://www.tiktok.com/@_fer_nanda26?_r=1&amp;_t=ZS-96m4OICwcS0</t>
  </si>
  <si>
    <t>apoio_tiktok_09</t>
  </si>
  <si>
    <t>JB26DescVIP#</t>
  </si>
  <si>
    <t>https://www.tiktok.com/@j.bosco01</t>
  </si>
  <si>
    <t>apoio_tiktok_10</t>
  </si>
  <si>
    <t>apoio_tiktok_11</t>
  </si>
  <si>
    <t>apoio_tiktok_12</t>
  </si>
  <si>
    <t>apoio_tiktok_13</t>
  </si>
  <si>
    <t>apoio_tiktok_14</t>
  </si>
  <si>
    <t>vs2026mc@</t>
  </si>
  <si>
    <t>apoio_tiktok_15</t>
  </si>
  <si>
    <t>apoio_tiktok_16</t>
  </si>
  <si>
    <t>apoio_tiktok_17</t>
  </si>
  <si>
    <t>apoio_tiktok_18</t>
  </si>
  <si>
    <t>apoio_tiktok_19</t>
  </si>
  <si>
    <t>apoio_tiktok_20</t>
  </si>
  <si>
    <t>https://www.tiktok.com/@v1v1mendes</t>
  </si>
  <si>
    <t>apoio_facebook_01</t>
  </si>
  <si>
    <t>https://www.facebook.com/profile.php?id=61573325288065&amp;mibextid=wwXIfr</t>
  </si>
  <si>
    <t>apoio_facebook_02</t>
  </si>
  <si>
    <t>ofertasestrategicas.2026@gmail.com / avante.financas1@gmail.com  - HENRIQUE</t>
  </si>
  <si>
    <t>https://www.facebook.com/share/19ErBDdeWF/?mibextid=wwXIfr</t>
  </si>
  <si>
    <t>apoio_facebook_03</t>
  </si>
  <si>
    <t>ofertasestrategicas.2026@gmail.com/ ganho.inteligente8@gmail.com - RAQUEL</t>
  </si>
  <si>
    <t>https://www.facebook.com/share/18HaYpmF4t/?mibextid=wwXIfr</t>
  </si>
  <si>
    <t>apoio_facebook_04</t>
  </si>
  <si>
    <t>https://www.facebook.com/profile.php?id=61590324931571</t>
  </si>
  <si>
    <t>apoio_facebook_05</t>
  </si>
  <si>
    <t>apoio_facebook_06</t>
  </si>
  <si>
    <t>https://www.facebook.com/share/1BF1ukPQz3/?mibextid=wwXIfr</t>
  </si>
  <si>
    <t>apoio_facebook_07</t>
  </si>
  <si>
    <t>Aguardando aprovação</t>
  </si>
  <si>
    <t>apoio_facebook_08</t>
  </si>
  <si>
    <t>apoio_facebook_09</t>
  </si>
  <si>
    <t>https://www.facebook.com/profile.php?id=61590631853507</t>
  </si>
  <si>
    <t>apoio_facebook_10</t>
  </si>
  <si>
    <t>apoio_facebook_11</t>
  </si>
  <si>
    <t>apoio_facebook_12</t>
  </si>
  <si>
    <t>apoio_facebook_13</t>
  </si>
  <si>
    <t>apoio_facebook_14</t>
  </si>
  <si>
    <t>apoio_facebook_15</t>
  </si>
  <si>
    <t>apoio_facebook_16</t>
  </si>
  <si>
    <t>apoio_facebook_17</t>
  </si>
  <si>
    <t>apoio_facebook_18</t>
  </si>
  <si>
    <t>apoio_facebook_19</t>
  </si>
  <si>
    <t>apoio_facebook_20</t>
  </si>
  <si>
    <t>https://www.facebook.com/profile.php?id=61590118936957</t>
  </si>
  <si>
    <t>apoio_kwai_01</t>
  </si>
  <si>
    <t>vidaeconomica1@gmail.com / ANGELA</t>
  </si>
  <si>
    <t>https://k.kwai.com/u/@Angela_vidareal/L65j8ACD</t>
  </si>
  <si>
    <t>apoio_kwai_02</t>
  </si>
  <si>
    <t xml:space="preserve"> https://k.kwai.com/u/@Henrique.metas/ClLFwzxJ</t>
  </si>
  <si>
    <t>apoio_kwai_03</t>
  </si>
  <si>
    <t>lucraronline9@gmail.com /RAQUEL</t>
  </si>
  <si>
    <t xml:space="preserve"> https://k.kwai.com/u/@raquel_por_raquel/a87P3Cya</t>
  </si>
  <si>
    <t>apoio_kwai_04</t>
  </si>
  <si>
    <t>apoio_kwai_05</t>
  </si>
  <si>
    <t>apoio_kwai_06</t>
  </si>
  <si>
    <t>https://k.kwai.com/u/@_claudio_vidareal/CDbzx9So</t>
  </si>
  <si>
    <t>apoio_kwai_07</t>
  </si>
  <si>
    <t>https://k.kwai.com/u/@Fer-nanda2026/QwiyMCAr</t>
  </si>
  <si>
    <t>apoio_kwai_08</t>
  </si>
  <si>
    <t>apoio_kwai_09</t>
  </si>
  <si>
    <t>Bloqueado</t>
  </si>
  <si>
    <t>apoio_kwai_10</t>
  </si>
  <si>
    <t>apoio_kwai_11</t>
  </si>
  <si>
    <t>apoio_kwai_12</t>
  </si>
  <si>
    <t>apoio_kwai_13</t>
  </si>
  <si>
    <t>apoio_kwai_14</t>
  </si>
  <si>
    <t>apoio_kwai_15</t>
  </si>
  <si>
    <t>apoio_kwai_16</t>
  </si>
  <si>
    <t>apoio_kwai_17</t>
  </si>
  <si>
    <t>apoio_kwai_18</t>
  </si>
  <si>
    <t>apoio_kwai_19</t>
  </si>
  <si>
    <t>apoio_kwai_20</t>
  </si>
  <si>
    <t>https://k.kwai.com/u/@claudiasirqueira35/3iBvyCFa</t>
  </si>
  <si>
    <t>apoio_youtube_01</t>
  </si>
  <si>
    <t>youtube</t>
  </si>
  <si>
    <t>caioboaventura68@gmail.com</t>
  </si>
  <si>
    <t>REMOVIDO</t>
  </si>
  <si>
    <t xml:space="preserve">SIM </t>
  </si>
  <si>
    <t>apoio_youtube_02</t>
  </si>
  <si>
    <t>apoio_youtube_03</t>
  </si>
  <si>
    <t>apoio_youtube_04</t>
  </si>
  <si>
    <t>apoio_youtube_05</t>
  </si>
  <si>
    <t>apoio_youtube_06</t>
  </si>
  <si>
    <t>aline.you.2026@gmail.com</t>
  </si>
  <si>
    <t xml:space="preserve">Removido </t>
  </si>
  <si>
    <t>https://youtube.com/@aline-t1b6n?si=dMwgJ0iSOhXrqgnu</t>
  </si>
  <si>
    <t>apoio_youtube_07</t>
  </si>
  <si>
    <t>apoio_youtube_08</t>
  </si>
  <si>
    <t>apoio_youtube_09</t>
  </si>
  <si>
    <t>apoio_youtube_10</t>
  </si>
  <si>
    <t>pauliana@vitissouls.com / ANGELA</t>
  </si>
  <si>
    <t>prova_social_instagram_01</t>
  </si>
  <si>
    <t>Prova Social</t>
  </si>
  <si>
    <t>prova_social_instagram_02</t>
  </si>
  <si>
    <t>prova_social_instagram_03</t>
  </si>
  <si>
    <t>prova_social_instagram_04</t>
  </si>
  <si>
    <t>prova_social_instagram_05</t>
  </si>
  <si>
    <t>claudiasirqueira35@gmail.com</t>
  </si>
  <si>
    <t>ClauZ2#1998</t>
  </si>
  <si>
    <t>https://www.instagram.com/claudiasirqueira35/</t>
  </si>
  <si>
    <t>prova_social_instagram_06</t>
  </si>
  <si>
    <t>prova_social_instagram_07</t>
  </si>
  <si>
    <t>prova_social_instagram_08</t>
  </si>
  <si>
    <t>prova_social_instagram_09</t>
  </si>
  <si>
    <t>prova_social_instagram_10</t>
  </si>
  <si>
    <t>prova_social_tiktok_01</t>
  </si>
  <si>
    <t>prova_social_tiktok_02</t>
  </si>
  <si>
    <t>prova_social_tiktok_03</t>
  </si>
  <si>
    <t>prova_social_tiktok_04</t>
  </si>
  <si>
    <t>prova_social_tiktok_05</t>
  </si>
  <si>
    <t>https://www.tiktok.com/@clausirqueira</t>
  </si>
  <si>
    <t>prova_social_tiktok_06</t>
  </si>
  <si>
    <t>prova_social_tiktok_07</t>
  </si>
  <si>
    <t>prova_social_tiktok_08</t>
  </si>
  <si>
    <t>prova_social_tiktok_09</t>
  </si>
  <si>
    <t>prova_social_tiktok_10</t>
  </si>
  <si>
    <t>prova_social_facebook_01</t>
  </si>
  <si>
    <t>prova_social_facebook_02</t>
  </si>
  <si>
    <t>prova_social_facebook_03</t>
  </si>
  <si>
    <t>prova_social_facebook_04</t>
  </si>
  <si>
    <t>prova_social_facebook_05</t>
  </si>
  <si>
    <t>Bloqueado pedindo selfie</t>
  </si>
  <si>
    <t>prova_social_facebook_06</t>
  </si>
  <si>
    <t>prova_social_facebook_07</t>
  </si>
  <si>
    <t>prova_social_facebook_08</t>
  </si>
  <si>
    <t>prova_social_facebook_09</t>
  </si>
  <si>
    <t>prova_social_facebook_10</t>
  </si>
  <si>
    <t>prova_social_kwai_01</t>
  </si>
  <si>
    <t>prova_social_kwai_02</t>
  </si>
  <si>
    <t>prova_social_kwai_03</t>
  </si>
  <si>
    <t>prova_social_kwai_04</t>
  </si>
  <si>
    <t>prova_social_kwai_05</t>
  </si>
  <si>
    <t>https://k.kwai.com/u/@claudiasirquei228/Ctu9Uyqw</t>
  </si>
  <si>
    <t>prova_social_kwai_06</t>
  </si>
  <si>
    <t>prova_social_kwai_07</t>
  </si>
  <si>
    <t>prova_social_kwai_08</t>
  </si>
  <si>
    <t>prova_social_kwai_09</t>
  </si>
  <si>
    <t>prova_social_kwai_10</t>
  </si>
  <si>
    <t>https://www.youtube.com/@ClaudiaSirqueira-35</t>
  </si>
  <si>
    <t>📈 DESEMPENHO SEMANAL — TODAS AS CONTAS</t>
  </si>
  <si>
    <t>Preencher toda semana — Atualizar com dados reais de cada conta</t>
  </si>
  <si>
    <t>SEMANA Nº</t>
  </si>
  <si>
    <t>PERÍODO</t>
  </si>
  <si>
    <t>__/____ a ____/____</t>
  </si>
  <si>
    <t>DATA ATUALIZAÇÃO</t>
  </si>
  <si>
    <t>MÊS</t>
  </si>
  <si>
    <t>META MEMBROS</t>
  </si>
  <si>
    <t>CONTA</t>
  </si>
  <si>
    <t>TIPO</t>
  </si>
  <si>
    <t>POSTS
PUBLICADOS</t>
  </si>
  <si>
    <t>STORIES
PUBLICADOS</t>
  </si>
  <si>
    <t>REELS/
TIKTOKS</t>
  </si>
  <si>
    <t>ALCANCE
ORGÂNICO</t>
  </si>
  <si>
    <t>ALCANCE
PAGO</t>
  </si>
  <si>
    <t>ALCANCE
TOTAL</t>
  </si>
  <si>
    <t>CURTIDAS</t>
  </si>
  <si>
    <t>COMENTÁRIOS</t>
  </si>
  <si>
    <t>COMPARTILHA
MENTOS</t>
  </si>
  <si>
    <t>ENGAJAMENTO
%</t>
  </si>
  <si>
    <t>CLIQUES
NO LINK</t>
  </si>
  <si>
    <t>MEMBROS
GERADOS</t>
  </si>
  <si>
    <t>AFILIADOS
GERADOS</t>
  </si>
  <si>
    <t>Rafael</t>
  </si>
  <si>
    <t>Bruno</t>
  </si>
  <si>
    <t>Livia</t>
  </si>
  <si>
    <t>Camila</t>
  </si>
  <si>
    <t>Lucas</t>
  </si>
  <si>
    <t>prova_social_youtube_01</t>
  </si>
  <si>
    <t>prova_social_youtube_02</t>
  </si>
  <si>
    <t>prova_social_youtube_03</t>
  </si>
  <si>
    <t>prova_social_youtube_04</t>
  </si>
  <si>
    <t>prova_social_youtube_05</t>
  </si>
  <si>
    <t>prova_social_youtube_06</t>
  </si>
  <si>
    <t>prova_social_youtube_07</t>
  </si>
  <si>
    <t>prova_social_youtube_08</t>
  </si>
  <si>
    <t>prova_social_youtube_09</t>
  </si>
  <si>
    <t>prova_social_youtube_10</t>
  </si>
  <si>
    <t>📊 TOTAIS GERAIS</t>
  </si>
  <si>
    <t>👥 CONTROLE DE MEMBROS E AFILIADOS — DESCONTOS VIP</t>
  </si>
  <si>
    <t>Registre cada novo membro e acompanhe sua conversão para afiliado</t>
  </si>
  <si>
    <t>NOME</t>
  </si>
  <si>
    <t>CONTATO
WHATSAPP</t>
  </si>
  <si>
    <t>DATA
ENTRADA</t>
  </si>
  <si>
    <t>ORIGEM
(CONTA)</t>
  </si>
  <si>
    <t>TIPO ENTRADA</t>
  </si>
  <si>
    <t>STATUS
MEMBRO</t>
  </si>
  <si>
    <t>VIROU
AFILIADO?</t>
  </si>
  <si>
    <t>DATA
AFILIADO</t>
  </si>
  <si>
    <t>MEMBROS
INDICADOS</t>
  </si>
  <si>
    <t>COMISSÃO
GERADA R$</t>
  </si>
  <si>
    <t>ATIVO
MES?</t>
  </si>
  <si>
    <t>✅ Ativo</t>
  </si>
  <si>
    <t>🎬 CONTROLE DE CONTEÚDO — CALENDÁRIO E STATUS</t>
  </si>
  <si>
    <t>Gerencie toda a produção de conteúdo semanal da equipe</t>
  </si>
  <si>
    <t>SEMANA</t>
  </si>
  <si>
    <t>DIA</t>
  </si>
  <si>
    <t>HORÁRIO</t>
  </si>
  <si>
    <t>TIPO
CONTEÚDO</t>
  </si>
  <si>
    <t>ROTEIRO
USADO</t>
  </si>
  <si>
    <t>NICHO
FOCO</t>
  </si>
  <si>
    <t>CONTA
RESPONSÁVEL</t>
  </si>
  <si>
    <t>LEGENDA
PRONTA</t>
  </si>
  <si>
    <t>IMPULSIONAR?</t>
  </si>
  <si>
    <t>ALCANCE
REAL</t>
  </si>
  <si>
    <t>Segunda</t>
  </si>
  <si>
    <t>🎬 Reels</t>
  </si>
  <si>
    <t>📝 Planejado</t>
  </si>
  <si>
    <t>📊 Carrossel</t>
  </si>
  <si>
    <t>📲 Story/Enquete</t>
  </si>
  <si>
    <t>Terça</t>
  </si>
  <si>
    <t>Quarta</t>
  </si>
  <si>
    <t>Quinta</t>
  </si>
  <si>
    <t>Sexta</t>
  </si>
  <si>
    <t>Sábado</t>
  </si>
  <si>
    <t>Domingo</t>
  </si>
  <si>
    <t>💰 CONTROLE DE VERBA E ANÚNCIOS — DESCONTOS VIP</t>
  </si>
  <si>
    <t>Acompanhe cada centavo investido e o retorno gerado</t>
  </si>
  <si>
    <t>ORÇAMENTO MENSAL R$</t>
  </si>
  <si>
    <t>TOTAL INVESTIDO R$</t>
  </si>
  <si>
    <t>SALDO DISPONÍVEL R$</t>
  </si>
  <si>
    <t>DATA</t>
  </si>
  <si>
    <t>CONTA
IMPULSIONADA</t>
  </si>
  <si>
    <t>VERBA
INVESTIDA R$</t>
  </si>
  <si>
    <t>TIPO
CAMPANHA</t>
  </si>
  <si>
    <t>PÚBLICO
ALVO</t>
  </si>
  <si>
    <t>ALCANCE
GERADO</t>
  </si>
  <si>
    <t>CLIQUES
GERADOS</t>
  </si>
  <si>
    <t>CUSTO POR
MEMBRO R$</t>
  </si>
  <si>
    <t>AVALIAÇÃO</t>
  </si>
  <si>
    <t>📝 RELATÓRIO SEMANAL — DESCONTOS VIP</t>
  </si>
  <si>
    <t>Preencher todo Domingo até 22h | Toda equipe responsável</t>
  </si>
  <si>
    <t>🔢 IDENTIFICAÇÃO</t>
  </si>
  <si>
    <t>Semana Número</t>
  </si>
  <si>
    <t>Período</t>
  </si>
  <si>
    <t>Responsável</t>
  </si>
  <si>
    <t>Data Entrega</t>
  </si>
  <si>
    <t>👥 MEMBROS E AFILIADOS</t>
  </si>
  <si>
    <t>Membros Novos</t>
  </si>
  <si>
    <t>Meta Membros</t>
  </si>
  <si>
    <t>Atingiu Meta?</t>
  </si>
  <si>
    <t>Total Acumulado</t>
  </si>
  <si>
    <t>Afiliados Novos</t>
  </si>
  <si>
    <t>Total Afiliados Ativos</t>
  </si>
  <si>
    <t>Afiliados Inativos</t>
  </si>
  <si>
    <t>Taxa Membro→Afiliado %</t>
  </si>
  <si>
    <t>📱 REDES SOCIAIS</t>
  </si>
  <si>
    <t>Total Posts Publicados</t>
  </si>
  <si>
    <t>Total Alcance Geral</t>
  </si>
  <si>
    <t>Total Engajamento</t>
  </si>
  <si>
    <t>Total Cliques no Link</t>
  </si>
  <si>
    <t>Melhor Plataforma</t>
  </si>
  <si>
    <t>Pior Plataforma</t>
  </si>
  <si>
    <t>💰 VERBA E ANÚNCIOS</t>
  </si>
  <si>
    <t>Verba Total Investida R$</t>
  </si>
  <si>
    <t>Alcance Pago Total</t>
  </si>
  <si>
    <t>Membros via Anúncio</t>
  </si>
  <si>
    <t>Custo Médio por Membro R$</t>
  </si>
  <si>
    <t>Melhor Investimento</t>
  </si>
  <si>
    <t>Pior Investimento</t>
  </si>
  <si>
    <t>🏆 TOP CONTEÚDOS</t>
  </si>
  <si>
    <t>1º Melhor Conteúdo</t>
  </si>
  <si>
    <t>Plataforma</t>
  </si>
  <si>
    <t>Alcance</t>
  </si>
  <si>
    <t>Membros Gerados</t>
  </si>
  <si>
    <t>2º Melhor Conteúdo</t>
  </si>
  <si>
    <t>3º Melhor Conteúdo</t>
  </si>
  <si>
    <t>💬 DM E WHATSAPP</t>
  </si>
  <si>
    <t>DMs Enviados</t>
  </si>
  <si>
    <t>DMs Respondidos</t>
  </si>
  <si>
    <t>Conversões por DM</t>
  </si>
  <si>
    <t>Mensagens WPP Enviadas</t>
  </si>
  <si>
    <t>Conversões pelo WPP</t>
  </si>
  <si>
    <t>Script Mais Efetivo</t>
  </si>
  <si>
    <t>⭐ AVALIAÇÃO GERAL</t>
  </si>
  <si>
    <t>Volume de Conteúdo (0-10)</t>
  </si>
  <si>
    <t>Qualidade (0-10)</t>
  </si>
  <si>
    <t>Engajamento (0-10)</t>
  </si>
  <si>
    <t>Conversão Membros (0-10)</t>
  </si>
  <si>
    <t>Conversão Afiliados (0-10)</t>
  </si>
  <si>
    <t>Uso do Orçamento (0-10)</t>
  </si>
  <si>
    <t>Desempenho Equipe (0-10)</t>
  </si>
  <si>
    <t>NOTA GERAL</t>
  </si>
  <si>
    <t>📝 ANÁLISE QUALITATIVA</t>
  </si>
  <si>
    <t>O que funcionou bem</t>
  </si>
  <si>
    <t>O que não funcionou</t>
  </si>
  <si>
    <t>Aprendizados da semana</t>
  </si>
  <si>
    <t>Problemas a resolver</t>
  </si>
  <si>
    <t>Ações para semana seguinte</t>
  </si>
  <si>
    <t>🚀 PROJEÇÃO 12 MESES — META DE DOBRAR TODO MÊS</t>
  </si>
  <si>
    <t>Acompanhe o crescimento real vs meta mês a mês</t>
  </si>
  <si>
    <t>NOME DO MÊS</t>
  </si>
  <si>
    <t>FASE</t>
  </si>
  <si>
    <t>META
MEMBROS/MÊS</t>
  </si>
  <si>
    <t>REAL
MEMBROS/MÊS</t>
  </si>
  <si>
    <t>% META
ATINGIDA</t>
  </si>
  <si>
    <t>META TOTAL
ACUMULADO</t>
  </si>
  <si>
    <t>REAL TOTAL
ACUMULADO</t>
  </si>
  <si>
    <t>META
AFILIADOS</t>
  </si>
  <si>
    <t>REAL
AFILIADOS</t>
  </si>
  <si>
    <t>ORÇAMENTO
R$</t>
  </si>
  <si>
    <t>REAL
INVESTIDO R$</t>
  </si>
  <si>
    <t>CUSTO/
MEMBRO R$</t>
  </si>
  <si>
    <t>Mês 1</t>
  </si>
  <si>
    <t>🔵 Fundação</t>
  </si>
  <si>
    <t>⏳ Aguardando</t>
  </si>
  <si>
    <t>Mês 2</t>
  </si>
  <si>
    <t>Mês 3</t>
  </si>
  <si>
    <t>🟡 Aceleração</t>
  </si>
  <si>
    <t>Mês 4</t>
  </si>
  <si>
    <t>Mês 5</t>
  </si>
  <si>
    <t>🟠 Expansão</t>
  </si>
  <si>
    <t>Mês 6</t>
  </si>
  <si>
    <t>Mês 7</t>
  </si>
  <si>
    <t>🔴 Dominância</t>
  </si>
  <si>
    <t>Mês 8</t>
  </si>
  <si>
    <t>Mês 9</t>
  </si>
  <si>
    <t>🟣 Explosão</t>
  </si>
  <si>
    <t>Mês 10</t>
  </si>
  <si>
    <t>Mês 11</t>
  </si>
  <si>
    <t>⚫ Império</t>
  </si>
  <si>
    <t>Mês 12</t>
  </si>
  <si>
    <t>✅ CHECKLIST SEMANAL DA EQUIPE — DESCONTOS VIP</t>
  </si>
  <si>
    <t>Marcar como FEITO toda semana | Responsabilidade de cada membro da equipe</t>
  </si>
  <si>
    <t>👑 VOCÊ — FUNDADOR</t>
  </si>
  <si>
    <t>TAREFA</t>
  </si>
  <si>
    <t>PRIORIDADE</t>
  </si>
  <si>
    <t>SEGUNDA</t>
  </si>
  <si>
    <t>QUARTA</t>
  </si>
  <si>
    <t>SEXTA</t>
  </si>
  <si>
    <t>DOMINGO</t>
  </si>
  <si>
    <t>Gravou mínimo 3 vídeos novos</t>
  </si>
  <si>
    <t>🔴 Alta</t>
  </si>
  <si>
    <t>⏳ Pendente</t>
  </si>
  <si>
    <t>Respondeu afiliados no grupo VIP</t>
  </si>
  <si>
    <t>Revisou relatório completo da semana</t>
  </si>
  <si>
    <t>Aprovou conteúdo da semana seguinte</t>
  </si>
  <si>
    <t>🟡 Média</t>
  </si>
  <si>
    <t>Definiu verba dos impulsionamentos</t>
  </si>
  <si>
    <t>Analisou métricas das contas estrela</t>
  </si>
  <si>
    <t>Enviou kit atualizado para novos afiliados</t>
  </si>
  <si>
    <t>Planejou conteúdo dos próximos 7 dias</t>
  </si>
  <si>
    <t>Verificou projeção vs meta do mês</t>
  </si>
  <si>
    <t>Reativou afiliados inativos</t>
  </si>
  <si>
    <t>👤 PESSOA 1 — GESTÃO DE CONTAS</t>
  </si>
  <si>
    <t>Todos os posts da semana foram publicados</t>
  </si>
  <si>
    <t>Planilha de contas atualizada</t>
  </si>
  <si>
    <t>Artes e carrosséis da próxima semana prontos</t>
  </si>
  <si>
    <t>Relatório de alcance preenchido no Dashboard</t>
  </si>
  <si>
    <t>Metricool com agenda da semana seguinte</t>
  </si>
  <si>
    <t>Bio e links verificados em todas as contas</t>
  </si>
  <si>
    <t>Contas bloqueadas identificadas e reportadas</t>
  </si>
  <si>
    <t>Novos seguidores das estrelas registrados</t>
  </si>
  <si>
    <t>Agendamento do próximo fim de semana feito</t>
  </si>
  <si>
    <t>Variações de legenda criadas para evitar spam</t>
  </si>
  <si>
    <t>👤 PESSOA 2 — ENGAJAMENTO E DM</t>
  </si>
  <si>
    <t>Todos os comentários respondidos</t>
  </si>
  <si>
    <t>DMs enviados para todos que interagiram</t>
  </si>
  <si>
    <t>Afiliados inativos contatados</t>
  </si>
  <si>
    <t>Novas provas sociais coletadas</t>
  </si>
  <si>
    <t>Scripts de DM atualizados conforme resultados</t>
  </si>
  <si>
    <t>30 contas de apoio curtiram posts das estrelas</t>
  </si>
  <si>
    <t>Compartilhamentos cruzados entre contas feitos</t>
  </si>
  <si>
    <t>Lista de leads quentes atualizada</t>
  </si>
  <si>
    <t>Respostas de objeções usadas documentadas</t>
  </si>
  <si>
    <t>WhatsApp grupos e listas atualizados</t>
  </si>
  <si>
    <t>📖 GUIA DE USO — PLANILHA DESCONTOS VIP</t>
  </si>
  <si>
    <t>Como usar cada aba desta planilha</t>
  </si>
  <si>
    <t>ABA</t>
  </si>
  <si>
    <t>DESCRIÇÃO E COMO USAR</t>
  </si>
  <si>
    <t>📊 Dashboard</t>
  </si>
  <si>
    <t>Visão geral de todos os KPIs. Atualizar toda semana com totais consolidados.</t>
  </si>
  <si>
    <t>📋 Cadastro Contas</t>
  </si>
  <si>
    <t>Registrar dados de acesso das 180 contas. Manter sempre atualizado com status real.</t>
  </si>
  <si>
    <t>📈 Desempenho Semanal</t>
  </si>
  <si>
    <t>Preencher desempenho de cada conta toda semana. Pessoa 1 é responsável.</t>
  </si>
  <si>
    <t>👥 Membros &amp; Afiliados</t>
  </si>
  <si>
    <t>Registrar cada novo membro. Marcar quando virar afiliado. Controlar comissões.</t>
  </si>
  <si>
    <t>🎬 Controle Conteúdo</t>
  </si>
  <si>
    <t>Planejar e monitorar cada conteúdo publicado. Marcar status de produção.</t>
  </si>
  <si>
    <t>💰 Verba &amp; Anúncios</t>
  </si>
  <si>
    <t>Registrar cada centavo investido. Calcular custo por membro automaticamente.</t>
  </si>
  <si>
    <t>📝 Relatório Semanal</t>
  </si>
  <si>
    <t>Preencher todo domingo. Análise qualitativa e quantitativa da semana.</t>
  </si>
  <si>
    <t>🚀 Projeção 12 Meses</t>
  </si>
  <si>
    <t>Atualizar coluna 'Real' todo mês. Comparar com meta e ajustar estratégia.</t>
  </si>
  <si>
    <t>✅ Checklist Equipe</t>
  </si>
  <si>
    <t>Cada membro marca suas tarefas. Revisão todo domingo na reunião.</t>
  </si>
  <si>
    <t>🎨 LEGENDA DE CORES DAS CONTAS</t>
  </si>
  <si>
    <t>🌟 DOURADO</t>
  </si>
  <si>
    <t>Contas Estrela — 1 por plataforma — recebe impulsionamento pago</t>
  </si>
  <si>
    <t>🔵 AZUL</t>
  </si>
  <si>
    <t>Contas de Nicho — focadas em público específico (mães, jovens, CLT, etc)</t>
  </si>
  <si>
    <t>⬜ CINZA</t>
  </si>
  <si>
    <t>Contas de Apoio — amplificam e compartilham conteúdo das estrelas</t>
  </si>
  <si>
    <t>🟢 VERDE</t>
  </si>
  <si>
    <t>Contas de Prova Social — postam depoimentos e resultados reais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</si>
</sst>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d/mm"/>
  </numFmts>
  <fonts count="45">
    <font>
      <sz val="11.0"/>
      <color theme="1"/>
      <name val="Calibri"/>
      <scheme val="minor"/>
    </font>
    <font>
      <b/>
      <sz val="16.0"/>
      <color rgb="FFFFD700"/>
      <name val="Arial"/>
    </font>
    <font/>
    <font>
      <b/>
      <sz val="11.0"/>
      <color rgb="FF1A1A2E"/>
      <name val="Arial"/>
    </font>
    <font>
      <b/>
      <sz val="9.0"/>
      <color rgb="FFFFD700"/>
      <name val="Arial"/>
    </font>
    <font>
      <b/>
      <sz val="18.0"/>
      <color rgb="FF1A1A2E"/>
      <name val="Arial"/>
    </font>
    <font>
      <b/>
      <sz val="12.0"/>
      <color rgb="FFFFD700"/>
      <name val="Arial"/>
    </font>
    <font>
      <b/>
      <sz val="9.0"/>
      <color rgb="FF1A1A2E"/>
      <name val="Arial"/>
    </font>
    <font>
      <b/>
      <sz val="10.0"/>
      <color rgb="FF2980B9"/>
      <name val="Arial"/>
    </font>
    <font>
      <sz val="10.0"/>
      <color rgb="FF1A1A2E"/>
      <name val="Arial"/>
    </font>
    <font>
      <b/>
      <sz val="10.0"/>
      <color rgb="FF8E44AD"/>
      <name val="Arial"/>
    </font>
    <font>
      <b/>
      <sz val="10.0"/>
      <color rgb="FFE67E22"/>
      <name val="Arial"/>
    </font>
    <font>
      <b/>
      <sz val="10.0"/>
      <color rgb="FFE74C3C"/>
      <name val="Arial"/>
    </font>
    <font>
      <b/>
      <sz val="10.0"/>
      <color rgb="FF27AE60"/>
      <name val="Arial"/>
    </font>
    <font>
      <b/>
      <sz val="10.0"/>
      <color rgb="FF1A1A2E"/>
      <name val="Arial"/>
    </font>
    <font>
      <b/>
      <sz val="14.0"/>
      <color rgb="FFFFD700"/>
      <name val="Arial"/>
    </font>
    <font>
      <color theme="1"/>
      <name val="Calibri"/>
      <scheme val="minor"/>
    </font>
    <font>
      <sz val="9.0"/>
      <color rgb="FF1A1A2E"/>
      <name val="Arial"/>
    </font>
    <font>
      <u/>
      <sz val="9.0"/>
      <color rgb="FF1A1A2E"/>
      <name val="Arial"/>
    </font>
    <font>
      <u/>
      <sz val="9.0"/>
      <color rgb="FF1A1A2E"/>
      <name val="Arial"/>
    </font>
    <font>
      <sz val="9.0"/>
      <color rgb="FF1F1F1F"/>
      <name val="Arial"/>
    </font>
    <font>
      <u/>
      <sz val="9.0"/>
      <color rgb="FF0000FF"/>
      <name val="Arial"/>
    </font>
    <font>
      <sz val="9.0"/>
      <color rgb="FF000000"/>
      <name val="Arial"/>
    </font>
    <font>
      <u/>
      <sz val="9.0"/>
      <color rgb="FF000000"/>
      <name val="Arial"/>
    </font>
    <font>
      <sz val="9.0"/>
      <color rgb="FF2980B9"/>
      <name val="Arial"/>
    </font>
    <font>
      <sz val="10.0"/>
      <color rgb="FF444746"/>
      <name val="&quot;Google Sans&quot;"/>
    </font>
    <font>
      <u/>
      <sz val="9.0"/>
      <color rgb="FF2980B9"/>
      <name val="Arial"/>
    </font>
    <font>
      <u/>
      <sz val="9.0"/>
      <color rgb="FF2980B9"/>
      <name val="Arial"/>
    </font>
    <font>
      <u/>
      <sz val="9.0"/>
      <color rgb="FF0000FF"/>
      <name val="Arial"/>
    </font>
    <font>
      <sz val="11.0"/>
      <color rgb="FF444746"/>
      <name val="&quot;Google Sans&quot;"/>
    </font>
    <font>
      <sz val="10.0"/>
      <color theme="4"/>
      <name val="&quot;Google Sans&quot;"/>
    </font>
    <font>
      <u/>
      <sz val="9.0"/>
      <color rgb="FF1A1A2E"/>
      <name val="Arial"/>
    </font>
    <font>
      <u/>
      <sz val="9.0"/>
      <color rgb="FF1A1A2E"/>
      <name val="Arial"/>
    </font>
    <font>
      <u/>
      <sz val="9.0"/>
      <color rgb="FF0000FF"/>
      <name val="Arial"/>
    </font>
    <font>
      <b/>
      <u/>
      <sz val="9.0"/>
      <color rgb="FF1A1A2E"/>
      <name val="Arial"/>
    </font>
    <font>
      <b/>
      <color theme="1"/>
      <name val="Calibri"/>
      <scheme val="minor"/>
    </font>
    <font>
      <u/>
      <color rgb="FF0000FF"/>
    </font>
    <font>
      <sz val="9.0"/>
      <color theme="1"/>
      <name val="Arial"/>
    </font>
    <font>
      <sz val="9.0"/>
      <color rgb="FF27AE60"/>
      <name val="Arial"/>
    </font>
    <font>
      <u/>
      <sz val="9.0"/>
      <color rgb="FF27AE60"/>
      <name val="Arial"/>
    </font>
    <font>
      <b/>
      <sz val="8.0"/>
      <color rgb="FFFFD700"/>
      <name val="Arial"/>
    </font>
    <font>
      <b/>
      <sz val="10.0"/>
      <color rgb="FFFFD700"/>
      <name val="Arial"/>
    </font>
    <font>
      <b/>
      <sz val="14.0"/>
      <color rgb="FF27AE60"/>
      <name val="Arial"/>
    </font>
    <font>
      <b/>
      <sz val="14.0"/>
      <color rgb="FFE74C3C"/>
      <name val="Arial"/>
    </font>
    <font>
      <b/>
      <sz val="11.0"/>
      <color rgb="FFFFD7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4C430"/>
        <bgColor rgb="FFF4C430"/>
      </patternFill>
    </fill>
    <fill>
      <patternFill patternType="solid">
        <fgColor rgb="FFFFF3B0"/>
        <bgColor rgb="FFFFF3B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EAFAF1"/>
        <bgColor rgb="FFEAFAF1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5F5F5"/>
        <bgColor rgb="FFF5F5F5"/>
      </patternFill>
    </fill>
    <fill>
      <patternFill patternType="solid">
        <fgColor rgb="FFE0E0E0"/>
        <bgColor rgb="FFE0E0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7" numFmtId="0" xfId="0" applyAlignment="1" applyBorder="1" applyFont="1">
      <alignment horizontal="center" shrinkToFit="0" vertical="center" wrapText="1"/>
    </xf>
    <xf borderId="8" fillId="5" fontId="8" numFmtId="0" xfId="0" applyAlignment="1" applyBorder="1" applyFill="1" applyFont="1">
      <alignment horizontal="left" vertical="center"/>
    </xf>
    <xf borderId="8" fillId="5" fontId="9" numFmtId="0" xfId="0" applyAlignment="1" applyBorder="1" applyFont="1">
      <alignment horizontal="center" shrinkToFit="0" vertical="center" wrapText="1"/>
    </xf>
    <xf borderId="8" fillId="6" fontId="10" numFmtId="0" xfId="0" applyAlignment="1" applyBorder="1" applyFill="1" applyFont="1">
      <alignment horizontal="left" vertical="center"/>
    </xf>
    <xf borderId="8" fillId="6" fontId="9" numFmtId="0" xfId="0" applyAlignment="1" applyBorder="1" applyFont="1">
      <alignment horizontal="center" shrinkToFit="0" vertical="center" wrapText="1"/>
    </xf>
    <xf borderId="8" fillId="7" fontId="11" numFmtId="0" xfId="0" applyAlignment="1" applyBorder="1" applyFill="1" applyFont="1">
      <alignment horizontal="left" vertical="center"/>
    </xf>
    <xf borderId="8" fillId="7" fontId="9" numFmtId="0" xfId="0" applyAlignment="1" applyBorder="1" applyFont="1">
      <alignment horizontal="center" shrinkToFit="0" vertical="center" wrapText="1"/>
    </xf>
    <xf borderId="8" fillId="8" fontId="12" numFmtId="0" xfId="0" applyAlignment="1" applyBorder="1" applyFill="1" applyFont="1">
      <alignment horizontal="left" vertical="center"/>
    </xf>
    <xf borderId="8" fillId="8" fontId="9" numFmtId="0" xfId="0" applyAlignment="1" applyBorder="1" applyFont="1">
      <alignment horizontal="center" shrinkToFit="0" vertical="center" wrapText="1"/>
    </xf>
    <xf borderId="8" fillId="9" fontId="13" numFmtId="0" xfId="0" applyAlignment="1" applyBorder="1" applyFill="1" applyFont="1">
      <alignment horizontal="left" vertical="center"/>
    </xf>
    <xf borderId="8" fillId="9" fontId="9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left" vertical="center"/>
    </xf>
    <xf borderId="8" fillId="4" fontId="9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0" fillId="0" fontId="16" numFmtId="0" xfId="0" applyFont="1"/>
    <xf borderId="0" fillId="10" fontId="17" numFmtId="0" xfId="0" applyAlignment="1" applyFill="1" applyFont="1">
      <alignment horizontal="center"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0" fillId="10" fontId="17" numFmtId="0" xfId="0" applyAlignment="1" applyFont="1">
      <alignment horizontal="center" readingOrder="0" shrinkToFit="0" vertical="center" wrapText="1"/>
    </xf>
    <xf borderId="0" fillId="10" fontId="16" numFmtId="0" xfId="0" applyFont="1"/>
    <xf borderId="8" fillId="4" fontId="17" numFmtId="0" xfId="0" applyAlignment="1" applyBorder="1" applyFont="1">
      <alignment horizontal="center" shrinkToFit="0" vertical="center" wrapText="1"/>
    </xf>
    <xf borderId="8" fillId="4" fontId="17" numFmtId="0" xfId="0" applyAlignment="1" applyBorder="1" applyFont="1">
      <alignment horizontal="center" readingOrder="0" shrinkToFit="0" vertical="center" wrapText="1"/>
    </xf>
    <xf borderId="8" fillId="4" fontId="17" numFmtId="164" xfId="0" applyAlignment="1" applyBorder="1" applyFont="1" applyNumberFormat="1">
      <alignment horizontal="center" readingOrder="0" shrinkToFit="0" vertical="center" wrapText="1"/>
    </xf>
    <xf borderId="8" fillId="4" fontId="18" numFmtId="0" xfId="0" applyAlignment="1" applyBorder="1" applyFont="1">
      <alignment horizontal="center" readingOrder="0" shrinkToFit="0" vertical="center" wrapText="1"/>
    </xf>
    <xf borderId="8" fillId="4" fontId="19" numFmtId="0" xfId="0" applyAlignment="1" applyBorder="1" applyFont="1">
      <alignment horizontal="center" readingOrder="0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8" fillId="10" fontId="17" numFmtId="0" xfId="0" applyAlignment="1" applyBorder="1" applyFont="1">
      <alignment horizontal="center" shrinkToFit="0" vertical="center" wrapText="1"/>
    </xf>
    <xf borderId="8" fillId="10" fontId="7" numFmtId="0" xfId="0" applyAlignment="1" applyBorder="1" applyFont="1">
      <alignment horizontal="center" readingOrder="0" shrinkToFit="0" vertical="center" wrapText="1"/>
    </xf>
    <xf borderId="8" fillId="10" fontId="17" numFmtId="0" xfId="0" applyAlignment="1" applyBorder="1" applyFont="1">
      <alignment horizontal="center" readingOrder="0" shrinkToFit="0" vertical="center" wrapText="1"/>
    </xf>
    <xf borderId="8" fillId="4" fontId="21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9" fillId="4" fontId="22" numFmtId="0" xfId="0" applyAlignment="1" applyBorder="1" applyFont="1">
      <alignment horizontal="center" readingOrder="0" shrinkToFit="0" vertical="center" wrapText="1"/>
    </xf>
    <xf borderId="8" fillId="10" fontId="23" numFmtId="0" xfId="0" applyAlignment="1" applyBorder="1" applyFont="1">
      <alignment horizontal="center" readingOrder="0" shrinkToFit="0" vertical="center" wrapText="1"/>
    </xf>
    <xf borderId="8" fillId="4" fontId="22" numFmtId="0" xfId="0" applyAlignment="1" applyBorder="1" applyFont="1">
      <alignment horizontal="center" readingOrder="0" shrinkToFit="0" vertical="center" wrapText="1"/>
    </xf>
    <xf borderId="5" fillId="4" fontId="17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center" readingOrder="0" shrinkToFit="0" vertical="center" wrapText="1"/>
    </xf>
    <xf borderId="10" fillId="10" fontId="17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5" fontId="24" numFmtId="0" xfId="0" applyAlignment="1" applyBorder="1" applyFont="1">
      <alignment horizontal="center" readingOrder="0" shrinkToFit="0" vertical="center" wrapText="1"/>
    </xf>
    <xf borderId="8" fillId="5" fontId="24" numFmtId="0" xfId="0" applyAlignment="1" applyBorder="1" applyFont="1">
      <alignment horizontal="center" shrinkToFit="0" vertical="center" wrapText="1"/>
    </xf>
    <xf borderId="8" fillId="5" fontId="24" numFmtId="164" xfId="0" applyAlignment="1" applyBorder="1" applyFont="1" applyNumberFormat="1">
      <alignment horizontal="center" readingOrder="0" shrinkToFit="0" vertical="center" wrapText="1"/>
    </xf>
    <xf borderId="8" fillId="11" fontId="17" numFmtId="0" xfId="0" applyAlignment="1" applyBorder="1" applyFill="1" applyFont="1">
      <alignment horizontal="center" readingOrder="0" shrinkToFit="0" vertical="center" wrapText="1"/>
    </xf>
    <xf borderId="0" fillId="5" fontId="25" numFmtId="0" xfId="0" applyAlignment="1" applyFont="1">
      <alignment horizontal="center" readingOrder="0" vertical="center"/>
    </xf>
    <xf borderId="8" fillId="5" fontId="24" numFmtId="165" xfId="0" applyAlignment="1" applyBorder="1" applyFont="1" applyNumberFormat="1">
      <alignment horizontal="center" readingOrder="0" shrinkToFit="0" vertical="center" wrapText="1"/>
    </xf>
    <xf borderId="8" fillId="5" fontId="26" numFmtId="0" xfId="0" applyAlignment="1" applyBorder="1" applyFont="1">
      <alignment horizontal="center" readingOrder="0" shrinkToFit="0" vertical="center" wrapText="1"/>
    </xf>
    <xf borderId="8" fillId="5" fontId="24" numFmtId="0" xfId="0" applyAlignment="1" applyBorder="1" applyFont="1">
      <alignment horizontal="center" shrinkToFit="0" vertical="center" wrapText="1"/>
    </xf>
    <xf borderId="8" fillId="5" fontId="27" numFmtId="0" xfId="0" applyAlignment="1" applyBorder="1" applyFont="1">
      <alignment horizontal="center" readingOrder="0" shrinkToFit="0" vertical="center" wrapText="1"/>
    </xf>
    <xf borderId="8" fillId="5" fontId="24" numFmtId="166" xfId="0" applyAlignment="1" applyBorder="1" applyFont="1" applyNumberFormat="1">
      <alignment horizontal="center" readingOrder="0" shrinkToFit="0" vertical="center" wrapText="1"/>
    </xf>
    <xf borderId="8" fillId="5" fontId="28" numFmtId="0" xfId="0" applyAlignment="1" applyBorder="1" applyFont="1">
      <alignment horizontal="center" readingOrder="0" shrinkToFit="0" vertical="center" wrapText="1"/>
    </xf>
    <xf borderId="0" fillId="5" fontId="29" numFmtId="0" xfId="0" applyAlignment="1" applyFont="1">
      <alignment horizontal="left" readingOrder="0"/>
    </xf>
    <xf borderId="8" fillId="5" fontId="24" numFmtId="0" xfId="0" applyAlignment="1" applyBorder="1" applyFont="1">
      <alignment horizontal="center" shrinkToFit="0" wrapText="1"/>
    </xf>
    <xf borderId="8" fillId="5" fontId="24" numFmtId="0" xfId="0" applyAlignment="1" applyBorder="1" applyFont="1">
      <alignment horizontal="center" readingOrder="0" shrinkToFit="0" wrapText="1"/>
    </xf>
    <xf borderId="8" fillId="5" fontId="24" numFmtId="164" xfId="0" applyAlignment="1" applyBorder="1" applyFont="1" applyNumberFormat="1">
      <alignment horizontal="center" readingOrder="0" shrinkToFit="0" wrapText="1"/>
    </xf>
    <xf borderId="0" fillId="5" fontId="30" numFmtId="0" xfId="0" applyAlignment="1" applyFont="1">
      <alignment horizontal="center" readingOrder="0"/>
    </xf>
    <xf borderId="11" fillId="5" fontId="24" numFmtId="0" xfId="0" applyAlignment="1" applyBorder="1" applyFont="1">
      <alignment horizontal="center" readingOrder="0" shrinkToFit="0" vertical="center" wrapText="1"/>
    </xf>
    <xf borderId="8" fillId="12" fontId="17" numFmtId="0" xfId="0" applyAlignment="1" applyBorder="1" applyFill="1" applyFont="1">
      <alignment horizontal="center" readingOrder="0" shrinkToFit="0" vertical="center" wrapText="1"/>
    </xf>
    <xf borderId="8" fillId="12" fontId="17" numFmtId="0" xfId="0" applyAlignment="1" applyBorder="1" applyFont="1">
      <alignment horizontal="center" shrinkToFit="0" vertical="center" wrapText="1"/>
    </xf>
    <xf borderId="8" fillId="12" fontId="17" numFmtId="164" xfId="0" applyAlignment="1" applyBorder="1" applyFont="1" applyNumberFormat="1">
      <alignment horizontal="center" readingOrder="0" shrinkToFit="0" vertical="center" wrapText="1"/>
    </xf>
    <xf borderId="8" fillId="12" fontId="31" numFmtId="0" xfId="0" applyAlignment="1" applyBorder="1" applyFont="1">
      <alignment horizontal="center" readingOrder="0" shrinkToFit="0" vertical="center" wrapText="1"/>
    </xf>
    <xf borderId="8" fillId="12" fontId="7" numFmtId="0" xfId="0" applyAlignment="1" applyBorder="1" applyFont="1">
      <alignment horizontal="center" readingOrder="0" shrinkToFit="0" vertical="center" wrapText="1"/>
    </xf>
    <xf borderId="8" fillId="12" fontId="32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vertical="center"/>
    </xf>
    <xf borderId="8" fillId="12" fontId="17" numFmtId="166" xfId="0" applyAlignment="1" applyBorder="1" applyFont="1" applyNumberFormat="1">
      <alignment horizontal="center" readingOrder="0" shrinkToFit="0" vertical="center" wrapText="1"/>
    </xf>
    <xf borderId="8" fillId="12" fontId="33" numFmtId="0" xfId="0" applyAlignment="1" applyBorder="1" applyFont="1">
      <alignment horizontal="center" readingOrder="0" shrinkToFit="0" vertical="center" wrapText="1"/>
    </xf>
    <xf borderId="8" fillId="12" fontId="7" numFmtId="0" xfId="0" applyAlignment="1" applyBorder="1" applyFont="1">
      <alignment horizontal="center" shrinkToFit="0" vertical="center" wrapText="1"/>
    </xf>
    <xf borderId="8" fillId="12" fontId="7" numFmtId="164" xfId="0" applyAlignment="1" applyBorder="1" applyFont="1" applyNumberFormat="1">
      <alignment horizontal="center" readingOrder="0" shrinkToFit="0" vertical="center" wrapText="1"/>
    </xf>
    <xf borderId="8" fillId="12" fontId="34" numFmtId="0" xfId="0" applyAlignment="1" applyBorder="1" applyFont="1">
      <alignment horizontal="center" readingOrder="0" shrinkToFit="0" vertical="center" wrapText="1"/>
    </xf>
    <xf borderId="0" fillId="0" fontId="35" numFmtId="0" xfId="0" applyFont="1"/>
    <xf borderId="0" fillId="0" fontId="36" numFmtId="0" xfId="0" applyAlignment="1" applyFont="1">
      <alignment readingOrder="0"/>
    </xf>
    <xf borderId="8" fillId="10" fontId="37" numFmtId="0" xfId="0" applyAlignment="1" applyBorder="1" applyFont="1">
      <alignment horizontal="center" readingOrder="0" shrinkToFit="0" vertical="center" wrapText="1"/>
    </xf>
    <xf borderId="8" fillId="12" fontId="22" numFmtId="0" xfId="0" applyAlignment="1" applyBorder="1" applyFont="1">
      <alignment horizontal="center" readingOrder="0" shrinkToFit="0" vertical="center" wrapText="1"/>
    </xf>
    <xf borderId="8" fillId="12" fontId="22" numFmtId="0" xfId="0" applyAlignment="1" applyBorder="1" applyFont="1">
      <alignment horizontal="center" shrinkToFit="0" vertical="center" wrapText="1"/>
    </xf>
    <xf borderId="8" fillId="9" fontId="38" numFmtId="0" xfId="0" applyAlignment="1" applyBorder="1" applyFont="1">
      <alignment horizontal="center" readingOrder="0" shrinkToFit="0" vertical="center" wrapText="1"/>
    </xf>
    <xf borderId="8" fillId="9" fontId="38" numFmtId="0" xfId="0" applyAlignment="1" applyBorder="1" applyFont="1">
      <alignment horizontal="center" shrinkToFit="0" vertical="center" wrapText="1"/>
    </xf>
    <xf borderId="8" fillId="9" fontId="22" numFmtId="0" xfId="0" applyAlignment="1" applyBorder="1" applyFont="1">
      <alignment horizontal="center" shrinkToFit="0" vertical="center" wrapText="1"/>
    </xf>
    <xf borderId="8" fillId="9" fontId="39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2" fontId="40" numFmtId="0" xfId="0" applyAlignment="1" applyBorder="1" applyFont="1">
      <alignment horizontal="center" shrinkToFit="0" vertical="center" wrapText="1"/>
    </xf>
    <xf borderId="8" fillId="4" fontId="17" numFmtId="0" xfId="0" applyAlignment="1" applyBorder="1" applyFont="1">
      <alignment horizontal="center" vertical="center"/>
    </xf>
    <xf borderId="8" fillId="4" fontId="17" numFmtId="0" xfId="0" applyAlignment="1" applyBorder="1" applyFont="1">
      <alignment horizontal="center" readingOrder="0" vertical="center"/>
    </xf>
    <xf borderId="8" fillId="5" fontId="24" numFmtId="0" xfId="0" applyAlignment="1" applyBorder="1" applyFont="1">
      <alignment horizontal="center" vertical="center"/>
    </xf>
    <xf borderId="8" fillId="12" fontId="17" numFmtId="0" xfId="0" applyAlignment="1" applyBorder="1" applyFont="1">
      <alignment horizontal="center" vertical="center"/>
    </xf>
    <xf borderId="8" fillId="12" fontId="17" numFmtId="0" xfId="0" applyAlignment="1" applyBorder="1" applyFont="1">
      <alignment horizontal="center" readingOrder="0" vertical="center"/>
    </xf>
    <xf borderId="8" fillId="9" fontId="38" numFmtId="0" xfId="0" applyAlignment="1" applyBorder="1" applyFont="1">
      <alignment horizontal="center" vertical="center"/>
    </xf>
    <xf borderId="8" fillId="9" fontId="38" numFmtId="0" xfId="0" applyAlignment="1" applyBorder="1" applyFont="1">
      <alignment horizontal="center" readingOrder="0" vertical="center"/>
    </xf>
    <xf borderId="1" fillId="2" fontId="41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center" vertical="center"/>
    </xf>
    <xf borderId="8" fillId="10" fontId="17" numFmtId="0" xfId="0" applyAlignment="1" applyBorder="1" applyFont="1">
      <alignment horizontal="center" vertical="center"/>
    </xf>
    <xf borderId="4" fillId="9" fontId="42" numFmtId="0" xfId="0" applyAlignment="1" applyBorder="1" applyFont="1">
      <alignment horizontal="center" vertical="center"/>
    </xf>
    <xf borderId="4" fillId="8" fontId="43" numFmtId="0" xfId="0" applyAlignment="1" applyBorder="1" applyFont="1">
      <alignment horizontal="center" vertical="center"/>
    </xf>
    <xf borderId="4" fillId="4" fontId="42" numFmtId="0" xfId="0" applyAlignment="1" applyBorder="1" applyFont="1">
      <alignment horizontal="center" vertical="center"/>
    </xf>
    <xf borderId="1" fillId="2" fontId="44" numFmtId="0" xfId="0" applyAlignment="1" applyBorder="1" applyFont="1">
      <alignment horizontal="center" shrinkToFit="0" vertical="center" wrapText="1"/>
    </xf>
    <xf borderId="5" fillId="4" fontId="14" numFmtId="0" xfId="0" applyAlignment="1" applyBorder="1" applyFont="1">
      <alignment horizontal="left" vertical="center"/>
    </xf>
    <xf borderId="5" fillId="10" fontId="9" numFmtId="0" xfId="0" applyAlignment="1" applyBorder="1" applyFont="1">
      <alignment horizontal="left" shrinkToFit="0" vertical="center" wrapText="1"/>
    </xf>
    <xf borderId="5" fillId="12" fontId="9" numFmtId="0" xfId="0" applyAlignment="1" applyBorder="1" applyFont="1">
      <alignment horizontal="left" shrinkToFit="0" vertical="center" wrapText="1"/>
    </xf>
    <xf borderId="8" fillId="5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8" fillId="7" fontId="9" numFmtId="0" xfId="0" applyAlignment="1" applyBorder="1" applyFont="1">
      <alignment horizontal="center" vertical="center"/>
    </xf>
    <xf borderId="8" fillId="8" fontId="9" numFmtId="0" xfId="0" applyAlignment="1" applyBorder="1" applyFont="1">
      <alignment horizontal="center" vertical="center"/>
    </xf>
    <xf borderId="8" fillId="6" fontId="9" numFmtId="0" xfId="0" applyAlignment="1" applyBorder="1" applyFont="1">
      <alignment horizontal="center" vertical="center"/>
    </xf>
    <xf borderId="8" fillId="13" fontId="9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8" fillId="10" fontId="17" numFmtId="0" xfId="0" applyAlignment="1" applyBorder="1" applyFont="1">
      <alignment horizontal="left" shrinkToFit="0" vertical="center" wrapText="1"/>
    </xf>
    <xf borderId="8" fillId="12" fontId="1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2" fontId="41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left" shrinkToFit="0" vertical="center" wrapText="1"/>
    </xf>
    <xf borderId="8" fillId="12" fontId="14" numFmtId="0" xfId="0" applyAlignment="1" applyBorder="1" applyFont="1">
      <alignment horizontal="left" vertical="center"/>
    </xf>
    <xf borderId="5" fillId="4" fontId="9" numFmtId="0" xfId="0" applyAlignment="1" applyBorder="1" applyFont="1">
      <alignment horizontal="left" vertical="center"/>
    </xf>
    <xf borderId="8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left" vertical="center"/>
    </xf>
    <xf borderId="8" fillId="12" fontId="14" numFmtId="0" xfId="0" applyAlignment="1" applyBorder="1" applyFont="1">
      <alignment horizontal="center" vertical="center"/>
    </xf>
    <xf borderId="5" fillId="12" fontId="9" numFmtId="0" xfId="0" applyAlignment="1" applyBorder="1" applyFont="1">
      <alignment horizontal="left" vertical="center"/>
    </xf>
    <xf borderId="8" fillId="9" fontId="14" numFmtId="0" xfId="0" applyAlignment="1" applyBorder="1" applyFont="1">
      <alignment horizontal="center" vertical="center"/>
    </xf>
    <xf borderId="5" fillId="9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rofile.php?id=61590475557436" TargetMode="External"/><Relationship Id="rId84" Type="http://schemas.openxmlformats.org/officeDocument/2006/relationships/hyperlink" Target="https://k.kwai.com/u/@claudiasirqueira35/3iBvyCFa" TargetMode="External"/><Relationship Id="rId83" Type="http://schemas.openxmlformats.org/officeDocument/2006/relationships/hyperlink" Target="https://k.kwai.com/u/@Fer-nanda2026/QwiyMCAr" TargetMode="External"/><Relationship Id="rId42" Type="http://schemas.openxmlformats.org/officeDocument/2006/relationships/hyperlink" Target="https://www.facebook.com/estrategiaseconomicas?" TargetMode="External"/><Relationship Id="rId86" Type="http://schemas.openxmlformats.org/officeDocument/2006/relationships/hyperlink" Target="https://www.instagram.com/claudiasirqueira35/" TargetMode="External"/><Relationship Id="rId41" Type="http://schemas.openxmlformats.org/officeDocument/2006/relationships/hyperlink" Target="https://www.facebook.com/profile.php?id=61590508976995" TargetMode="External"/><Relationship Id="rId85" Type="http://schemas.openxmlformats.org/officeDocument/2006/relationships/hyperlink" Target="https://youtube.com/@aline-t1b6n?si=dMwgJ0iSOhXrqgnu" TargetMode="External"/><Relationship Id="rId44" Type="http://schemas.openxmlformats.org/officeDocument/2006/relationships/hyperlink" Target="https://www.facebook.com/profile.php?id=61572132483103&amp;mibextid=wwXIfr&amp;mibextid=wwXIfr" TargetMode="External"/><Relationship Id="rId88" Type="http://schemas.openxmlformats.org/officeDocument/2006/relationships/hyperlink" Target="https://k.kwai.com/u/@claudiasirquei228/Ctu9Uyqw" TargetMode="External"/><Relationship Id="rId43" Type="http://schemas.openxmlformats.org/officeDocument/2006/relationships/hyperlink" Target="https://www.facebook.com/profile.php?id=61589428682703" TargetMode="External"/><Relationship Id="rId87" Type="http://schemas.openxmlformats.org/officeDocument/2006/relationships/hyperlink" Target="https://www.tiktok.com/@clausirqueira" TargetMode="External"/><Relationship Id="rId46" Type="http://schemas.openxmlformats.org/officeDocument/2006/relationships/hyperlink" Target="https://k.kwai.com/u/@Caio.Revenda/EyCRWv1W" TargetMode="External"/><Relationship Id="rId45" Type="http://schemas.openxmlformats.org/officeDocument/2006/relationships/hyperlink" Target="https://k.kwai.com/u/@souaaline/kMzwqCkj" TargetMode="External"/><Relationship Id="rId89" Type="http://schemas.openxmlformats.org/officeDocument/2006/relationships/hyperlink" Target="https://www.youtube.com/@ClaudiaSirqueira-35" TargetMode="External"/><Relationship Id="rId80" Type="http://schemas.openxmlformats.org/officeDocument/2006/relationships/hyperlink" Target="https://k.kwai.com/u/@Henrique.metas/ClLFwzxJ" TargetMode="External"/><Relationship Id="rId82" Type="http://schemas.openxmlformats.org/officeDocument/2006/relationships/hyperlink" Target="https://k.kwai.com/u/@_claudio_vidareal/CDbzx9So" TargetMode="External"/><Relationship Id="rId81" Type="http://schemas.openxmlformats.org/officeDocument/2006/relationships/hyperlink" Target="https://k.kwai.com/u/@raquel_por_raquel/a87P3Cya" TargetMode="External"/><Relationship Id="rId1" Type="http://schemas.openxmlformats.org/officeDocument/2006/relationships/hyperlink" Target="https://www.instagram.com/faelestrategista/" TargetMode="External"/><Relationship Id="rId2" Type="http://schemas.openxmlformats.org/officeDocument/2006/relationships/hyperlink" Target="https://www.tiktok.com/@faelestrategista" TargetMode="External"/><Relationship Id="rId3" Type="http://schemas.openxmlformats.org/officeDocument/2006/relationships/hyperlink" Target="https://www.facebook.com/profile.php?id=61590030976750" TargetMode="External"/><Relationship Id="rId4" Type="http://schemas.openxmlformats.org/officeDocument/2006/relationships/hyperlink" Target="https://k.kwai.com/u/@rafaelestrateg/ACJJyas8" TargetMode="External"/><Relationship Id="rId9" Type="http://schemas.openxmlformats.org/officeDocument/2006/relationships/hyperlink" Target="https://www.kwai.com/@BrunoSilvaVIP" TargetMode="External"/><Relationship Id="rId48" Type="http://schemas.openxmlformats.org/officeDocument/2006/relationships/hyperlink" Target="https://www.youtube.com/@Claudia-123-x2l" TargetMode="External"/><Relationship Id="rId47" Type="http://schemas.openxmlformats.org/officeDocument/2006/relationships/hyperlink" Target="https://www.youtube.com/@Thalita-d4w" TargetMode="External"/><Relationship Id="rId49" Type="http://schemas.openxmlformats.org/officeDocument/2006/relationships/hyperlink" Target="https://www.youtube.com/channel/UCwnX0ei5J40HvXpsYa1BCfw" TargetMode="External"/><Relationship Id="rId5" Type="http://schemas.openxmlformats.org/officeDocument/2006/relationships/hyperlink" Target="https://www.youtube.com/@RafaelEstrategia" TargetMode="External"/><Relationship Id="rId6" Type="http://schemas.openxmlformats.org/officeDocument/2006/relationships/hyperlink" Target="https://www.instagram.com/obrunosilva2000" TargetMode="External"/><Relationship Id="rId7" Type="http://schemas.openxmlformats.org/officeDocument/2006/relationships/hyperlink" Target="https://www.tiktok.com/@brun0silva_" TargetMode="External"/><Relationship Id="rId8" Type="http://schemas.openxmlformats.org/officeDocument/2006/relationships/hyperlink" Target="https://www.facebook.com/profile.php?id=61590427859594" TargetMode="External"/><Relationship Id="rId73" Type="http://schemas.openxmlformats.org/officeDocument/2006/relationships/hyperlink" Target="https://www.facebook.com/share/19ErBDdeWF/?mibextid=wwXIfr" TargetMode="External"/><Relationship Id="rId72" Type="http://schemas.openxmlformats.org/officeDocument/2006/relationships/hyperlink" Target="https://www.facebook.com/profile.php?id=61573325288065&amp;mibextid=wwXIfr" TargetMode="External"/><Relationship Id="rId31" Type="http://schemas.openxmlformats.org/officeDocument/2006/relationships/hyperlink" Target="https://www.tiktok.com/@pedrojueconomizando" TargetMode="External"/><Relationship Id="rId75" Type="http://schemas.openxmlformats.org/officeDocument/2006/relationships/hyperlink" Target="https://www.facebook.com/profile.php?id=61590324931571" TargetMode="External"/><Relationship Id="rId30" Type="http://schemas.openxmlformats.org/officeDocument/2006/relationships/hyperlink" Target="https://www.tiktok.com/@arthurfer29" TargetMode="External"/><Relationship Id="rId74" Type="http://schemas.openxmlformats.org/officeDocument/2006/relationships/hyperlink" Target="https://www.facebook.com/share/18HaYpmF4t/?mibextid=wwXIfr" TargetMode="External"/><Relationship Id="rId33" Type="http://schemas.openxmlformats.org/officeDocument/2006/relationships/hyperlink" Target="https://www.facebook.com/profile.php?id=61589428682703" TargetMode="External"/><Relationship Id="rId77" Type="http://schemas.openxmlformats.org/officeDocument/2006/relationships/hyperlink" Target="https://www.facebook.com/profile.php?id=61590631853507" TargetMode="External"/><Relationship Id="rId32" Type="http://schemas.openxmlformats.org/officeDocument/2006/relationships/hyperlink" Target="https://www.tiktok.com/@_souaaline?_r=1&amp;_t=ZS-96i0gFXBnrF" TargetMode="External"/><Relationship Id="rId76" Type="http://schemas.openxmlformats.org/officeDocument/2006/relationships/hyperlink" Target="https://www.facebook.com/share/1BF1ukPQz3/?mibextid=wwXIfr" TargetMode="External"/><Relationship Id="rId35" Type="http://schemas.openxmlformats.org/officeDocument/2006/relationships/hyperlink" Target="https://www.facebook.com/profile.php?id=61590109213244" TargetMode="External"/><Relationship Id="rId79" Type="http://schemas.openxmlformats.org/officeDocument/2006/relationships/hyperlink" Target="https://k.kwai.com/u/@Angela_vidareal/L65j8ACD" TargetMode="External"/><Relationship Id="rId34" Type="http://schemas.openxmlformats.org/officeDocument/2006/relationships/hyperlink" Target="https://www.tiktok.com/@caio.revendas?_r=1&amp;_t=ZS-96iawPZsAvh" TargetMode="External"/><Relationship Id="rId78" Type="http://schemas.openxmlformats.org/officeDocument/2006/relationships/hyperlink" Target="https://www.facebook.com/profile.php?id=61590118936957" TargetMode="External"/><Relationship Id="rId71" Type="http://schemas.openxmlformats.org/officeDocument/2006/relationships/hyperlink" Target="https://www.tiktok.com/@v1v1mendes" TargetMode="External"/><Relationship Id="rId70" Type="http://schemas.openxmlformats.org/officeDocument/2006/relationships/hyperlink" Target="https://www.tiktok.com/@j.bosco01" TargetMode="External"/><Relationship Id="rId37" Type="http://schemas.openxmlformats.org/officeDocument/2006/relationships/hyperlink" Target="https://www.facebook.com/profile.php?id=61590498387161" TargetMode="External"/><Relationship Id="rId36" Type="http://schemas.openxmlformats.org/officeDocument/2006/relationships/hyperlink" Target="https://www.facebook.com/people/Will-Pereira/61590427557380/" TargetMode="External"/><Relationship Id="rId39" Type="http://schemas.openxmlformats.org/officeDocument/2006/relationships/hyperlink" Target="https://www.facebook.com/profile.php?id=61590083235516" TargetMode="External"/><Relationship Id="rId38" Type="http://schemas.openxmlformats.org/officeDocument/2006/relationships/hyperlink" Target="https://www.facebook.com/profile.php?id=61590087074694" TargetMode="External"/><Relationship Id="rId62" Type="http://schemas.openxmlformats.org/officeDocument/2006/relationships/hyperlink" Target="https://www.instagram.com/afer_nanda.a?igsh=Y21vd2pleTFkOGJt&amp;utm_source=qr" TargetMode="External"/><Relationship Id="rId61" Type="http://schemas.openxmlformats.org/officeDocument/2006/relationships/hyperlink" Target="https://www.instagram.com/_claudio_2026?igsh=MWZxNjZ0bGJ3ZDh1eg%3D%3D&amp;utm_source=qr" TargetMode="External"/><Relationship Id="rId20" Type="http://schemas.openxmlformats.org/officeDocument/2006/relationships/hyperlink" Target="https://www.instagram.com/monicasil320/" TargetMode="External"/><Relationship Id="rId64" Type="http://schemas.openxmlformats.org/officeDocument/2006/relationships/hyperlink" Target="https://www.tiktok.com/@amgela_vida_real?_r=1&amp;_t=ZS-96jzGhZnGCW" TargetMode="External"/><Relationship Id="rId63" Type="http://schemas.openxmlformats.org/officeDocument/2006/relationships/hyperlink" Target="https://www.instagram.com/v1v1mendes/" TargetMode="External"/><Relationship Id="rId22" Type="http://schemas.openxmlformats.org/officeDocument/2006/relationships/hyperlink" Target="https://www.instagram.com/pedrojuliaeconomizando/" TargetMode="External"/><Relationship Id="rId66" Type="http://schemas.openxmlformats.org/officeDocument/2006/relationships/hyperlink" Target="https://www.tiktok.com/@raquel_por_raquel?_r=1&amp;_t=ZS-96kCkhi72YL" TargetMode="External"/><Relationship Id="rId21" Type="http://schemas.openxmlformats.org/officeDocument/2006/relationships/hyperlink" Target="https://www.instagram.com/joaopaulinhoest/" TargetMode="External"/><Relationship Id="rId65" Type="http://schemas.openxmlformats.org/officeDocument/2006/relationships/hyperlink" Target="https://www.tiktok.com/@henrique.metas?_r=1&amp;_t=ZS-96k8lz2aax7" TargetMode="External"/><Relationship Id="rId24" Type="http://schemas.openxmlformats.org/officeDocument/2006/relationships/hyperlink" Target="https://www.instagram.com/aline_eu_aline/" TargetMode="External"/><Relationship Id="rId68" Type="http://schemas.openxmlformats.org/officeDocument/2006/relationships/hyperlink" Target="https://www.tiktok.com/@_claudio_vidareal?_r=1&amp;_t=ZS-96m269gujXV" TargetMode="External"/><Relationship Id="rId23" Type="http://schemas.openxmlformats.org/officeDocument/2006/relationships/hyperlink" Target="https://www.instagram.com/luziammoreira9/" TargetMode="External"/><Relationship Id="rId67" Type="http://schemas.openxmlformats.org/officeDocument/2006/relationships/hyperlink" Target="https://www.tiktok.com/@thalitinha_c" TargetMode="External"/><Relationship Id="rId60" Type="http://schemas.openxmlformats.org/officeDocument/2006/relationships/hyperlink" Target="https://www.instagram.com/joaobosco20262026/" TargetMode="External"/><Relationship Id="rId26" Type="http://schemas.openxmlformats.org/officeDocument/2006/relationships/hyperlink" Target="https://www.instagram.com/caio_vidareal?utm_source=ig_web_button_share_sheet&amp;igsh=ZDNlZDc0MzIxNw==" TargetMode="External"/><Relationship Id="rId25" Type="http://schemas.openxmlformats.org/officeDocument/2006/relationships/hyperlink" Target="https://www.instagram.com/smartofertas2026_/" TargetMode="External"/><Relationship Id="rId69" Type="http://schemas.openxmlformats.org/officeDocument/2006/relationships/hyperlink" Target="https://www.tiktok.com/@_fer_nanda26?_r=1&amp;_t=ZS-96m4OICwcS0" TargetMode="External"/><Relationship Id="rId28" Type="http://schemas.openxmlformats.org/officeDocument/2006/relationships/hyperlink" Target="https://www.tiktok.com/@claudiatx1" TargetMode="External"/><Relationship Id="rId27" Type="http://schemas.openxmlformats.org/officeDocument/2006/relationships/hyperlink" Target="https://www.tiktok.com/@descontos_vip_" TargetMode="External"/><Relationship Id="rId29" Type="http://schemas.openxmlformats.org/officeDocument/2006/relationships/hyperlink" Target="https://www.tiktok.com/@will_p64" TargetMode="External"/><Relationship Id="rId51" Type="http://schemas.openxmlformats.org/officeDocument/2006/relationships/hyperlink" Target="https://www.youtube.com/@monicasilvamonica-o1o" TargetMode="External"/><Relationship Id="rId50" Type="http://schemas.openxmlformats.org/officeDocument/2006/relationships/hyperlink" Target="https://www.youtube.com/channel/UC0kG7dkbP5boLXOM8URTnlA" TargetMode="External"/><Relationship Id="rId53" Type="http://schemas.openxmlformats.org/officeDocument/2006/relationships/hyperlink" Target="https://www.youtube.com/@PedroJulia-t4r" TargetMode="External"/><Relationship Id="rId52" Type="http://schemas.openxmlformats.org/officeDocument/2006/relationships/hyperlink" Target="https://www.youtube.com/@Jo%C3%A3oPaulo-r1i1u" TargetMode="External"/><Relationship Id="rId11" Type="http://schemas.openxmlformats.org/officeDocument/2006/relationships/hyperlink" Target="mailto:liviainfluencer1@gmail.com" TargetMode="External"/><Relationship Id="rId55" Type="http://schemas.openxmlformats.org/officeDocument/2006/relationships/hyperlink" Target="https://www.youtube.com/channel/UCbgHTqOPyHtBUgj_0sak8Ew" TargetMode="External"/><Relationship Id="rId10" Type="http://schemas.openxmlformats.org/officeDocument/2006/relationships/hyperlink" Target="https://www.youtube.com/@BrunoSilvaVIP" TargetMode="External"/><Relationship Id="rId54" Type="http://schemas.openxmlformats.org/officeDocument/2006/relationships/hyperlink" Target="https://www.youtube.com/@Luzia-c6z" TargetMode="External"/><Relationship Id="rId13" Type="http://schemas.openxmlformats.org/officeDocument/2006/relationships/hyperlink" Target="https://www.tiktok.com/@camila_influencerr" TargetMode="External"/><Relationship Id="rId57" Type="http://schemas.openxmlformats.org/officeDocument/2006/relationships/hyperlink" Target="https://www.instagram.com/_henrique_metas?igsh=YWVjeWt6dDQwYXVo&amp;utm_source=qr" TargetMode="External"/><Relationship Id="rId12" Type="http://schemas.openxmlformats.org/officeDocument/2006/relationships/hyperlink" Target="https://www.instagram.com/camila_ferrazsilv/" TargetMode="External"/><Relationship Id="rId56" Type="http://schemas.openxmlformats.org/officeDocument/2006/relationships/hyperlink" Target="https://www.instagram.com/angela_vida_real?igsh=MWhjM3RiYzNqZm9wcA%3D%3D&amp;utm_source=qr" TargetMode="External"/><Relationship Id="rId90" Type="http://schemas.openxmlformats.org/officeDocument/2006/relationships/drawing" Target="../drawings/drawing2.xml"/><Relationship Id="rId15" Type="http://schemas.openxmlformats.org/officeDocument/2006/relationships/hyperlink" Target="https://k.kwai.com/u/@camilaferraz298/CXyECOxR" TargetMode="External"/><Relationship Id="rId59" Type="http://schemas.openxmlformats.org/officeDocument/2006/relationships/hyperlink" Target="https://www.instagram.com/thalitinhac/" TargetMode="External"/><Relationship Id="rId14" Type="http://schemas.openxmlformats.org/officeDocument/2006/relationships/hyperlink" Target="https://www.facebook.com/profile.php?id=61590071625339&amp;sk=reels_tab" TargetMode="External"/><Relationship Id="rId58" Type="http://schemas.openxmlformats.org/officeDocument/2006/relationships/hyperlink" Target="https://www.instagram.com/raquel_por_raquel?igsh=MXdhN2Fhd3B3ZGZ1MA%3D%3D&amp;utm_source=qr" TargetMode="External"/><Relationship Id="rId17" Type="http://schemas.openxmlformats.org/officeDocument/2006/relationships/hyperlink" Target="https://www.instagram.com/claudiaotx/" TargetMode="External"/><Relationship Id="rId16" Type="http://schemas.openxmlformats.org/officeDocument/2006/relationships/hyperlink" Target="https://www.youtube.com/channel/UCC11laBsTMbECJQ4iNMNx6g" TargetMode="External"/><Relationship Id="rId19" Type="http://schemas.openxmlformats.org/officeDocument/2006/relationships/hyperlink" Target="https://www.instagram.com/vsarthur47/" TargetMode="External"/><Relationship Id="rId18" Type="http://schemas.openxmlformats.org/officeDocument/2006/relationships/hyperlink" Target="https://www.instagram.com/perreirawilliam12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4" width="12.0"/>
    <col customWidth="1" min="5" max="6" width="14.0"/>
    <col customWidth="1" min="7" max="8" width="16.0"/>
    <col customWidth="1" min="9" max="9" width="10.0"/>
    <col customWidth="1" min="10" max="11" width="14.0"/>
    <col customWidth="1" min="12" max="12" width="20.0"/>
    <col customWidth="1" min="13" max="13" width="8.0"/>
    <col customWidth="1" min="14" max="14" width="10.0"/>
    <col customWidth="1" min="15" max="15" width="15.0"/>
    <col customWidth="1" min="16" max="26" width="8.71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4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9.75" customHeight="1"/>
    <row r="4" ht="39.75" customHeight="1">
      <c r="B4" s="5" t="s">
        <v>2</v>
      </c>
      <c r="C4" s="3"/>
      <c r="D4" s="5" t="s">
        <v>3</v>
      </c>
      <c r="E4" s="3"/>
      <c r="F4" s="5" t="s">
        <v>4</v>
      </c>
      <c r="G4" s="3"/>
      <c r="H4" s="5" t="s">
        <v>5</v>
      </c>
      <c r="I4" s="3"/>
      <c r="J4" s="5" t="s">
        <v>6</v>
      </c>
      <c r="K4" s="3"/>
      <c r="L4" s="5" t="s">
        <v>7</v>
      </c>
      <c r="M4" s="3"/>
      <c r="N4" s="5" t="s">
        <v>8</v>
      </c>
      <c r="O4" s="3"/>
      <c r="P4" s="6" t="s">
        <v>9</v>
      </c>
    </row>
    <row r="5" ht="49.5" customHeight="1">
      <c r="B5" s="7">
        <v>0.0</v>
      </c>
      <c r="C5" s="3"/>
      <c r="D5" s="7">
        <v>0.0</v>
      </c>
      <c r="E5" s="3"/>
      <c r="F5" s="7">
        <v>0.0</v>
      </c>
      <c r="G5" s="3"/>
      <c r="H5" s="7">
        <v>0.0</v>
      </c>
      <c r="I5" s="3"/>
      <c r="J5" s="7">
        <v>0.0</v>
      </c>
      <c r="K5" s="3"/>
      <c r="L5" s="7">
        <v>0.0</v>
      </c>
      <c r="M5" s="3"/>
      <c r="N5" s="7">
        <v>0.0</v>
      </c>
      <c r="O5" s="3"/>
      <c r="P5" s="8">
        <v>0.0</v>
      </c>
    </row>
    <row r="6" ht="15.0" customHeight="1"/>
    <row r="7" ht="30.0" customHeight="1">
      <c r="A7" s="9" t="s">
        <v>10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ht="30.0" customHeight="1">
      <c r="A8" s="12" t="s">
        <v>11</v>
      </c>
      <c r="B8" s="12" t="s">
        <v>12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2" t="s">
        <v>25</v>
      </c>
    </row>
    <row r="9" ht="21.75" customHeight="1">
      <c r="A9" s="13" t="s">
        <v>26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21.75" customHeight="1">
      <c r="A10" s="15" t="s">
        <v>27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21.75" customHeight="1">
      <c r="A11" s="13" t="s">
        <v>28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21.75" customHeight="1">
      <c r="A12" s="17" t="s">
        <v>29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ht="21.75" customHeight="1">
      <c r="A13" s="19" t="s">
        <v>30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ht="21.75" customHeight="1">
      <c r="A14" s="15" t="s">
        <v>31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21.75" customHeight="1">
      <c r="A15" s="21" t="s">
        <v>32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ht="21.75" customHeight="1">
      <c r="A16" s="23" t="s">
        <v>33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A7:P7"/>
    <mergeCell ref="A1:P1"/>
    <mergeCell ref="A2:P2"/>
    <mergeCell ref="B4:C4"/>
    <mergeCell ref="D4:E4"/>
    <mergeCell ref="F4:G4"/>
    <mergeCell ref="H4:I4"/>
    <mergeCell ref="J4:K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12.0"/>
    <col customWidth="1" min="4" max="4" width="13.0"/>
    <col customWidth="1" min="5" max="5" width="16.0"/>
    <col customWidth="1" min="6" max="6" width="43.14"/>
    <col customWidth="1" min="7" max="7" width="14.0"/>
    <col customWidth="1" min="8" max="8" width="16.0"/>
    <col customWidth="1" min="9" max="9" width="12.0"/>
    <col customWidth="1" min="10" max="11" width="14.0"/>
    <col customWidth="1" min="12" max="13" width="12.0"/>
    <col customWidth="1" min="14" max="15" width="14.0"/>
    <col customWidth="1" min="16" max="16" width="10.0"/>
    <col customWidth="1" min="17" max="17" width="29.43"/>
    <col customWidth="1" min="18" max="18" width="14.0"/>
    <col customWidth="1" min="19" max="19" width="36.14"/>
    <col customWidth="1" min="20" max="26" width="8.71"/>
  </cols>
  <sheetData>
    <row r="1" ht="39.75" customHeight="1">
      <c r="A1" s="25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1.75" customHeight="1">
      <c r="A2" s="26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27" t="str">
        <f>IFERROR(__xludf.DUMMYFUNCTION("AI("""")"),"Please provide a question or instruction regarding the spreadsheet data, such as a request for a summary, a specific fact extraction, or categorization of the accounts. I do not have enough information to provide an answer yet.")</f>
        <v>Please provide a question or instruction regarding the spreadsheet data, such as a request for a summary, a specific fact extraction, or categorization of the accounts. I do not have enough information to provide an answer yet.</v>
      </c>
    </row>
    <row r="3" ht="34.5" customHeight="1">
      <c r="A3" s="6" t="s">
        <v>36</v>
      </c>
      <c r="B3" s="6" t="s">
        <v>37</v>
      </c>
      <c r="C3" s="6" t="s">
        <v>11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44</v>
      </c>
      <c r="K3" s="6" t="s">
        <v>45</v>
      </c>
      <c r="L3" s="6" t="s">
        <v>46</v>
      </c>
      <c r="M3" s="6" t="s">
        <v>47</v>
      </c>
      <c r="N3" s="6" t="s">
        <v>48</v>
      </c>
      <c r="O3" s="6" t="s">
        <v>49</v>
      </c>
      <c r="P3" s="6" t="s">
        <v>50</v>
      </c>
      <c r="Q3" s="6" t="s">
        <v>51</v>
      </c>
      <c r="R3" s="6" t="s">
        <v>52</v>
      </c>
    </row>
    <row r="4" ht="39.75" customHeight="1">
      <c r="A4" s="28"/>
      <c r="B4" s="29" t="s">
        <v>53</v>
      </c>
      <c r="C4" s="28"/>
      <c r="D4" s="28"/>
      <c r="E4" s="28"/>
      <c r="F4" s="30"/>
      <c r="G4" s="30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1"/>
      <c r="T4" s="31"/>
      <c r="U4" s="31"/>
      <c r="V4" s="31"/>
      <c r="W4" s="31"/>
      <c r="X4" s="31"/>
      <c r="Y4" s="31"/>
      <c r="Z4" s="31"/>
    </row>
    <row r="5" ht="30.0" customHeight="1">
      <c r="A5" s="32">
        <v>1.0</v>
      </c>
      <c r="B5" s="32" t="s">
        <v>54</v>
      </c>
      <c r="C5" s="32" t="s">
        <v>55</v>
      </c>
      <c r="D5" s="32" t="s">
        <v>56</v>
      </c>
      <c r="E5" s="32" t="s">
        <v>57</v>
      </c>
      <c r="F5" s="33" t="s">
        <v>58</v>
      </c>
      <c r="G5" s="33" t="s">
        <v>59</v>
      </c>
      <c r="H5" s="33">
        <v>2.4998679977E10</v>
      </c>
      <c r="I5" s="34">
        <v>46167.0</v>
      </c>
      <c r="J5" s="33" t="s">
        <v>60</v>
      </c>
      <c r="K5" s="33" t="s">
        <v>61</v>
      </c>
      <c r="L5" s="33" t="s">
        <v>61</v>
      </c>
      <c r="M5" s="33" t="s">
        <v>61</v>
      </c>
      <c r="N5" s="32">
        <v>0.0</v>
      </c>
      <c r="O5" s="33">
        <v>2.0</v>
      </c>
      <c r="P5" s="33">
        <v>3.0</v>
      </c>
      <c r="Q5" s="35" t="s">
        <v>62</v>
      </c>
      <c r="R5" s="33" t="s">
        <v>63</v>
      </c>
    </row>
    <row r="6" ht="18.0" customHeight="1">
      <c r="A6" s="32">
        <v>2.0</v>
      </c>
      <c r="B6" s="32" t="s">
        <v>64</v>
      </c>
      <c r="C6" s="32" t="s">
        <v>65</v>
      </c>
      <c r="D6" s="32" t="s">
        <v>56</v>
      </c>
      <c r="E6" s="32" t="s">
        <v>57</v>
      </c>
      <c r="F6" s="33" t="s">
        <v>58</v>
      </c>
      <c r="G6" s="33" t="s">
        <v>66</v>
      </c>
      <c r="H6" s="32"/>
      <c r="I6" s="34">
        <v>46167.0</v>
      </c>
      <c r="J6" s="33" t="s">
        <v>60</v>
      </c>
      <c r="K6" s="33" t="s">
        <v>61</v>
      </c>
      <c r="L6" s="33" t="s">
        <v>61</v>
      </c>
      <c r="M6" s="33" t="s">
        <v>61</v>
      </c>
      <c r="N6" s="32">
        <v>0.0</v>
      </c>
      <c r="O6" s="32">
        <v>0.0</v>
      </c>
      <c r="P6" s="33">
        <v>3.0</v>
      </c>
      <c r="Q6" s="35" t="s">
        <v>67</v>
      </c>
      <c r="R6" s="33" t="s">
        <v>63</v>
      </c>
    </row>
    <row r="7" ht="32.25" customHeight="1">
      <c r="A7" s="32">
        <v>3.0</v>
      </c>
      <c r="B7" s="32" t="s">
        <v>68</v>
      </c>
      <c r="C7" s="32" t="s">
        <v>69</v>
      </c>
      <c r="D7" s="32" t="s">
        <v>56</v>
      </c>
      <c r="E7" s="32" t="s">
        <v>57</v>
      </c>
      <c r="F7" s="33" t="s">
        <v>58</v>
      </c>
      <c r="G7" s="33" t="s">
        <v>59</v>
      </c>
      <c r="H7" s="32"/>
      <c r="I7" s="34">
        <v>46167.0</v>
      </c>
      <c r="J7" s="33" t="s">
        <v>60</v>
      </c>
      <c r="K7" s="33" t="s">
        <v>61</v>
      </c>
      <c r="L7" s="33" t="s">
        <v>61</v>
      </c>
      <c r="M7" s="33" t="s">
        <v>61</v>
      </c>
      <c r="N7" s="32">
        <v>0.0</v>
      </c>
      <c r="O7" s="32">
        <v>0.0</v>
      </c>
      <c r="P7" s="33">
        <v>3.0</v>
      </c>
      <c r="Q7" s="35" t="s">
        <v>70</v>
      </c>
      <c r="R7" s="33" t="s">
        <v>63</v>
      </c>
    </row>
    <row r="8" ht="18.0" customHeight="1">
      <c r="A8" s="32">
        <v>4.0</v>
      </c>
      <c r="B8" s="32" t="s">
        <v>71</v>
      </c>
      <c r="C8" s="32" t="s">
        <v>72</v>
      </c>
      <c r="D8" s="32" t="s">
        <v>56</v>
      </c>
      <c r="E8" s="32" t="s">
        <v>57</v>
      </c>
      <c r="F8" s="33" t="s">
        <v>58</v>
      </c>
      <c r="G8" s="33" t="s">
        <v>59</v>
      </c>
      <c r="H8" s="32"/>
      <c r="I8" s="34">
        <v>46167.0</v>
      </c>
      <c r="J8" s="33" t="s">
        <v>60</v>
      </c>
      <c r="K8" s="33" t="s">
        <v>61</v>
      </c>
      <c r="L8" s="33" t="s">
        <v>61</v>
      </c>
      <c r="M8" s="33" t="s">
        <v>61</v>
      </c>
      <c r="N8" s="32">
        <v>0.0</v>
      </c>
      <c r="O8" s="32">
        <v>0.0</v>
      </c>
      <c r="P8" s="33">
        <v>1.0</v>
      </c>
      <c r="Q8" s="36" t="s">
        <v>73</v>
      </c>
      <c r="R8" s="33" t="s">
        <v>63</v>
      </c>
    </row>
    <row r="9" ht="18.0" customHeight="1">
      <c r="A9" s="33">
        <v>5.0</v>
      </c>
      <c r="B9" s="33" t="s">
        <v>74</v>
      </c>
      <c r="C9" s="33" t="s">
        <v>75</v>
      </c>
      <c r="D9" s="33" t="s">
        <v>56</v>
      </c>
      <c r="E9" s="33" t="s">
        <v>57</v>
      </c>
      <c r="F9" s="33" t="s">
        <v>58</v>
      </c>
      <c r="G9" s="33" t="s">
        <v>59</v>
      </c>
      <c r="H9" s="32"/>
      <c r="I9" s="34">
        <v>46167.0</v>
      </c>
      <c r="J9" s="33" t="s">
        <v>60</v>
      </c>
      <c r="K9" s="33" t="s">
        <v>61</v>
      </c>
      <c r="L9" s="33" t="s">
        <v>61</v>
      </c>
      <c r="M9" s="33" t="s">
        <v>61</v>
      </c>
      <c r="N9" s="33">
        <v>0.0</v>
      </c>
      <c r="O9" s="33">
        <v>0.0</v>
      </c>
      <c r="P9" s="33">
        <v>3.0</v>
      </c>
      <c r="Q9" s="37" t="s">
        <v>76</v>
      </c>
      <c r="R9" s="33" t="s">
        <v>63</v>
      </c>
    </row>
    <row r="10" ht="18.0" customHeight="1">
      <c r="A10" s="38"/>
      <c r="B10" s="39" t="s">
        <v>77</v>
      </c>
      <c r="C10" s="38"/>
      <c r="D10" s="38"/>
      <c r="E10" s="38"/>
      <c r="F10" s="40" t="s">
        <v>78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1"/>
      <c r="T10" s="31"/>
      <c r="U10" s="31"/>
      <c r="V10" s="31"/>
      <c r="W10" s="31"/>
      <c r="X10" s="31"/>
      <c r="Y10" s="31"/>
      <c r="Z10" s="31"/>
    </row>
    <row r="11" ht="18.0" customHeight="1">
      <c r="A11" s="33">
        <v>6.0</v>
      </c>
      <c r="B11" s="32" t="s">
        <v>54</v>
      </c>
      <c r="C11" s="32" t="s">
        <v>55</v>
      </c>
      <c r="D11" s="32" t="s">
        <v>56</v>
      </c>
      <c r="E11" s="32" t="s">
        <v>57</v>
      </c>
      <c r="F11" s="33" t="s">
        <v>79</v>
      </c>
      <c r="G11" s="33" t="s">
        <v>80</v>
      </c>
      <c r="H11" s="32"/>
      <c r="I11" s="34">
        <v>46167.0</v>
      </c>
      <c r="J11" s="33" t="s">
        <v>60</v>
      </c>
      <c r="K11" s="33" t="s">
        <v>61</v>
      </c>
      <c r="L11" s="32" t="s">
        <v>81</v>
      </c>
      <c r="M11" s="33" t="s">
        <v>61</v>
      </c>
      <c r="N11" s="32">
        <v>0.0</v>
      </c>
      <c r="O11" s="33">
        <v>20.0</v>
      </c>
      <c r="P11" s="33">
        <v>1.0</v>
      </c>
      <c r="Q11" s="41" t="s">
        <v>82</v>
      </c>
      <c r="R11" s="33" t="s">
        <v>83</v>
      </c>
      <c r="S11" s="42" t="s">
        <v>84</v>
      </c>
    </row>
    <row r="12" ht="18.0" customHeight="1">
      <c r="A12" s="33">
        <v>7.0</v>
      </c>
      <c r="B12" s="32" t="s">
        <v>64</v>
      </c>
      <c r="C12" s="32" t="s">
        <v>65</v>
      </c>
      <c r="D12" s="32" t="s">
        <v>56</v>
      </c>
      <c r="E12" s="32" t="s">
        <v>57</v>
      </c>
      <c r="F12" s="33" t="s">
        <v>85</v>
      </c>
      <c r="G12" s="33" t="s">
        <v>80</v>
      </c>
      <c r="H12" s="32"/>
      <c r="I12" s="34">
        <v>46167.0</v>
      </c>
      <c r="J12" s="33" t="s">
        <v>60</v>
      </c>
      <c r="K12" s="33" t="s">
        <v>61</v>
      </c>
      <c r="L12" s="32" t="s">
        <v>81</v>
      </c>
      <c r="M12" s="33" t="s">
        <v>61</v>
      </c>
      <c r="N12" s="32">
        <v>0.0</v>
      </c>
      <c r="O12" s="33">
        <v>0.0</v>
      </c>
      <c r="P12" s="33">
        <v>2.0</v>
      </c>
      <c r="Q12" s="35" t="s">
        <v>86</v>
      </c>
      <c r="R12" s="33" t="s">
        <v>83</v>
      </c>
    </row>
    <row r="13" ht="18.0" customHeight="1">
      <c r="A13" s="33">
        <v>8.0</v>
      </c>
      <c r="B13" s="32" t="s">
        <v>68</v>
      </c>
      <c r="C13" s="32" t="s">
        <v>69</v>
      </c>
      <c r="D13" s="32" t="s">
        <v>56</v>
      </c>
      <c r="E13" s="32" t="s">
        <v>57</v>
      </c>
      <c r="F13" s="43" t="s">
        <v>87</v>
      </c>
      <c r="G13" s="33" t="s">
        <v>80</v>
      </c>
      <c r="H13" s="32"/>
      <c r="I13" s="34">
        <v>46167.0</v>
      </c>
      <c r="J13" s="33" t="s">
        <v>60</v>
      </c>
      <c r="K13" s="32" t="s">
        <v>81</v>
      </c>
      <c r="L13" s="32" t="s">
        <v>81</v>
      </c>
      <c r="M13" s="33" t="s">
        <v>61</v>
      </c>
      <c r="N13" s="32">
        <v>0.0</v>
      </c>
      <c r="O13" s="33">
        <v>35.0</v>
      </c>
      <c r="P13" s="33">
        <v>1.0</v>
      </c>
      <c r="Q13" s="41" t="s">
        <v>88</v>
      </c>
      <c r="R13" s="33" t="s">
        <v>83</v>
      </c>
      <c r="S13" s="42" t="s">
        <v>89</v>
      </c>
    </row>
    <row r="14" ht="18.0" customHeight="1">
      <c r="A14" s="33">
        <v>9.0</v>
      </c>
      <c r="B14" s="32" t="s">
        <v>71</v>
      </c>
      <c r="C14" s="32" t="s">
        <v>72</v>
      </c>
      <c r="D14" s="32" t="s">
        <v>56</v>
      </c>
      <c r="E14" s="32" t="s">
        <v>57</v>
      </c>
      <c r="F14" s="33" t="s">
        <v>90</v>
      </c>
      <c r="G14" s="33" t="s">
        <v>80</v>
      </c>
      <c r="H14" s="32"/>
      <c r="I14" s="34">
        <v>46167.0</v>
      </c>
      <c r="J14" s="33" t="s">
        <v>60</v>
      </c>
      <c r="K14" s="33" t="s">
        <v>61</v>
      </c>
      <c r="L14" s="33" t="s">
        <v>61</v>
      </c>
      <c r="M14" s="33" t="s">
        <v>61</v>
      </c>
      <c r="N14" s="32">
        <v>0.0</v>
      </c>
      <c r="O14" s="32">
        <v>0.0</v>
      </c>
      <c r="P14" s="32">
        <v>0.0</v>
      </c>
      <c r="Q14" s="41" t="s">
        <v>91</v>
      </c>
      <c r="R14" s="33" t="s">
        <v>83</v>
      </c>
      <c r="S14" s="42" t="s">
        <v>92</v>
      </c>
    </row>
    <row r="15" ht="18.0" customHeight="1">
      <c r="A15" s="33">
        <v>10.0</v>
      </c>
      <c r="B15" s="33" t="s">
        <v>74</v>
      </c>
      <c r="C15" s="33" t="s">
        <v>75</v>
      </c>
      <c r="D15" s="33" t="s">
        <v>56</v>
      </c>
      <c r="E15" s="33" t="s">
        <v>57</v>
      </c>
      <c r="F15" s="33" t="s">
        <v>93</v>
      </c>
      <c r="G15" s="33" t="s">
        <v>80</v>
      </c>
      <c r="H15" s="32"/>
      <c r="I15" s="34">
        <v>46167.0</v>
      </c>
      <c r="J15" s="33" t="s">
        <v>60</v>
      </c>
      <c r="K15" s="33" t="s">
        <v>61</v>
      </c>
      <c r="L15" s="32" t="s">
        <v>81</v>
      </c>
      <c r="M15" s="33" t="s">
        <v>61</v>
      </c>
      <c r="N15" s="33">
        <v>0.0</v>
      </c>
      <c r="O15" s="33">
        <v>0.0</v>
      </c>
      <c r="P15" s="33">
        <v>3.0</v>
      </c>
      <c r="Q15" s="41" t="s">
        <v>94</v>
      </c>
      <c r="R15" s="33" t="s">
        <v>83</v>
      </c>
      <c r="S15" s="42" t="s">
        <v>95</v>
      </c>
    </row>
    <row r="16" ht="18.0" customHeight="1">
      <c r="A16" s="38"/>
      <c r="B16" s="39" t="s">
        <v>96</v>
      </c>
      <c r="C16" s="38"/>
      <c r="D16" s="38"/>
      <c r="E16" s="38"/>
      <c r="F16" s="44" t="s">
        <v>97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1"/>
      <c r="T16" s="31"/>
      <c r="U16" s="31"/>
      <c r="V16" s="31"/>
      <c r="W16" s="31"/>
      <c r="X16" s="31"/>
      <c r="Y16" s="31"/>
      <c r="Z16" s="31"/>
    </row>
    <row r="17" ht="18.0" customHeight="1">
      <c r="A17" s="33">
        <v>11.0</v>
      </c>
      <c r="B17" s="32" t="s">
        <v>54</v>
      </c>
      <c r="C17" s="32" t="s">
        <v>55</v>
      </c>
      <c r="D17" s="32" t="s">
        <v>56</v>
      </c>
      <c r="E17" s="32" t="s">
        <v>57</v>
      </c>
      <c r="F17" s="45" t="s">
        <v>98</v>
      </c>
      <c r="G17" s="33" t="s">
        <v>99</v>
      </c>
      <c r="H17" s="32"/>
      <c r="I17" s="32"/>
      <c r="J17" s="33" t="s">
        <v>60</v>
      </c>
      <c r="K17" s="33" t="s">
        <v>61</v>
      </c>
      <c r="L17" s="32" t="s">
        <v>81</v>
      </c>
      <c r="M17" s="33" t="s">
        <v>61</v>
      </c>
      <c r="N17" s="33">
        <v>1.0</v>
      </c>
      <c r="O17" s="33">
        <v>1.0</v>
      </c>
      <c r="P17" s="33">
        <v>2.0</v>
      </c>
      <c r="Q17" s="33" t="s">
        <v>100</v>
      </c>
      <c r="R17" s="33" t="s">
        <v>101</v>
      </c>
      <c r="S17" s="42" t="s">
        <v>102</v>
      </c>
    </row>
    <row r="18" ht="21.75" customHeight="1">
      <c r="A18" s="33">
        <v>12.0</v>
      </c>
      <c r="B18" s="32" t="s">
        <v>64</v>
      </c>
      <c r="C18" s="32" t="s">
        <v>65</v>
      </c>
      <c r="D18" s="32" t="s">
        <v>56</v>
      </c>
      <c r="E18" s="32" t="s">
        <v>57</v>
      </c>
      <c r="F18" s="33" t="s">
        <v>103</v>
      </c>
      <c r="G18" s="33" t="s">
        <v>99</v>
      </c>
      <c r="H18" s="32"/>
      <c r="I18" s="32"/>
      <c r="J18" s="33" t="s">
        <v>60</v>
      </c>
      <c r="K18" s="33" t="s">
        <v>61</v>
      </c>
      <c r="L18" s="32" t="s">
        <v>81</v>
      </c>
      <c r="M18" s="33" t="s">
        <v>61</v>
      </c>
      <c r="N18" s="32">
        <v>0.0</v>
      </c>
      <c r="O18" s="32">
        <v>0.0</v>
      </c>
      <c r="P18" s="33">
        <v>2.0</v>
      </c>
      <c r="Q18" s="33" t="s">
        <v>100</v>
      </c>
      <c r="R18" s="33" t="s">
        <v>101</v>
      </c>
      <c r="S18" s="42" t="s">
        <v>104</v>
      </c>
    </row>
    <row r="19" ht="21.0" customHeight="1">
      <c r="A19" s="33">
        <v>13.0</v>
      </c>
      <c r="B19" s="32" t="s">
        <v>68</v>
      </c>
      <c r="C19" s="32" t="s">
        <v>69</v>
      </c>
      <c r="D19" s="32" t="s">
        <v>56</v>
      </c>
      <c r="E19" s="32" t="s">
        <v>57</v>
      </c>
      <c r="F19" s="43" t="s">
        <v>105</v>
      </c>
      <c r="G19" s="33" t="s">
        <v>99</v>
      </c>
      <c r="H19" s="32"/>
      <c r="I19" s="32"/>
      <c r="J19" s="33" t="s">
        <v>60</v>
      </c>
      <c r="K19" s="32" t="s">
        <v>81</v>
      </c>
      <c r="L19" s="32" t="s">
        <v>81</v>
      </c>
      <c r="M19" s="33" t="s">
        <v>61</v>
      </c>
      <c r="N19" s="32">
        <v>0.0</v>
      </c>
      <c r="O19" s="32">
        <v>0.0</v>
      </c>
      <c r="P19" s="33">
        <v>2.0</v>
      </c>
      <c r="Q19" s="33" t="s">
        <v>106</v>
      </c>
      <c r="R19" s="33" t="s">
        <v>101</v>
      </c>
      <c r="S19" s="42" t="s">
        <v>107</v>
      </c>
    </row>
    <row r="20" ht="18.0" customHeight="1">
      <c r="A20" s="33">
        <v>14.0</v>
      </c>
      <c r="B20" s="32" t="s">
        <v>71</v>
      </c>
      <c r="C20" s="32" t="s">
        <v>72</v>
      </c>
      <c r="D20" s="32" t="s">
        <v>56</v>
      </c>
      <c r="E20" s="46" t="s">
        <v>57</v>
      </c>
      <c r="F20" s="43" t="s">
        <v>105</v>
      </c>
      <c r="G20" s="33" t="s">
        <v>99</v>
      </c>
      <c r="H20" s="32"/>
      <c r="I20" s="32"/>
      <c r="J20" s="33" t="s">
        <v>60</v>
      </c>
      <c r="K20" s="32" t="s">
        <v>81</v>
      </c>
      <c r="L20" s="32" t="s">
        <v>81</v>
      </c>
      <c r="M20" s="33" t="s">
        <v>61</v>
      </c>
      <c r="N20" s="32">
        <v>0.0</v>
      </c>
      <c r="O20" s="32">
        <v>0.0</v>
      </c>
      <c r="P20" s="32">
        <v>0.0</v>
      </c>
      <c r="Q20" s="33" t="s">
        <v>108</v>
      </c>
      <c r="R20" s="33" t="s">
        <v>101</v>
      </c>
    </row>
    <row r="21" ht="22.5" customHeight="1">
      <c r="A21" s="33">
        <v>15.0</v>
      </c>
      <c r="B21" s="33" t="s">
        <v>74</v>
      </c>
      <c r="C21" s="33" t="s">
        <v>75</v>
      </c>
      <c r="D21" s="33" t="s">
        <v>56</v>
      </c>
      <c r="E21" s="47" t="s">
        <v>57</v>
      </c>
      <c r="F21" s="43" t="s">
        <v>105</v>
      </c>
      <c r="G21" s="33" t="s">
        <v>99</v>
      </c>
      <c r="H21" s="32"/>
      <c r="I21" s="32"/>
      <c r="J21" s="33" t="s">
        <v>60</v>
      </c>
      <c r="K21" s="33" t="s">
        <v>61</v>
      </c>
      <c r="L21" s="32" t="s">
        <v>81</v>
      </c>
      <c r="M21" s="33" t="s">
        <v>61</v>
      </c>
      <c r="N21" s="32">
        <v>0.0</v>
      </c>
      <c r="O21" s="32">
        <v>0.0</v>
      </c>
      <c r="P21" s="32">
        <v>0.0</v>
      </c>
      <c r="Q21" s="33" t="s">
        <v>109</v>
      </c>
      <c r="R21" s="33" t="s">
        <v>101</v>
      </c>
      <c r="S21" s="42" t="s">
        <v>110</v>
      </c>
    </row>
    <row r="22" ht="22.5" customHeight="1">
      <c r="A22" s="38"/>
      <c r="B22" s="39" t="s">
        <v>111</v>
      </c>
      <c r="C22" s="38"/>
      <c r="D22" s="38"/>
      <c r="E22" s="38"/>
      <c r="F22" s="48" t="s">
        <v>112</v>
      </c>
      <c r="G22" s="38"/>
      <c r="H22" s="38"/>
      <c r="I22" s="38"/>
      <c r="J22" s="38"/>
      <c r="K22" s="38"/>
      <c r="L22" s="38"/>
      <c r="M22" s="38"/>
      <c r="N22" s="38"/>
      <c r="O22" s="38"/>
      <c r="Q22" s="38"/>
      <c r="R22" s="38"/>
      <c r="S22" s="31"/>
      <c r="T22" s="31"/>
      <c r="U22" s="31"/>
      <c r="V22" s="31"/>
      <c r="W22" s="31"/>
      <c r="X22" s="31"/>
      <c r="Y22" s="31"/>
      <c r="Z22" s="31"/>
    </row>
    <row r="23" ht="23.25" customHeight="1">
      <c r="A23" s="33">
        <v>16.0</v>
      </c>
      <c r="B23" s="33" t="s">
        <v>54</v>
      </c>
      <c r="C23" s="32" t="s">
        <v>55</v>
      </c>
      <c r="D23" s="32" t="s">
        <v>56</v>
      </c>
      <c r="E23" s="32" t="s">
        <v>57</v>
      </c>
      <c r="F23" s="33" t="s">
        <v>113</v>
      </c>
      <c r="G23" s="33" t="s">
        <v>80</v>
      </c>
      <c r="H23" s="32"/>
      <c r="I23" s="34">
        <v>46167.0</v>
      </c>
      <c r="J23" s="33" t="s">
        <v>60</v>
      </c>
      <c r="K23" s="33" t="s">
        <v>61</v>
      </c>
      <c r="L23" s="32" t="s">
        <v>81</v>
      </c>
      <c r="M23" s="33" t="s">
        <v>61</v>
      </c>
      <c r="N23" s="32">
        <v>0.0</v>
      </c>
      <c r="O23" s="32">
        <v>0.0</v>
      </c>
      <c r="P23" s="33">
        <v>1.0</v>
      </c>
      <c r="Q23" s="41" t="s">
        <v>114</v>
      </c>
      <c r="R23" s="33" t="s">
        <v>115</v>
      </c>
      <c r="S23" s="42" t="s">
        <v>116</v>
      </c>
    </row>
    <row r="24" ht="31.5" customHeight="1">
      <c r="A24" s="33">
        <v>17.0</v>
      </c>
      <c r="B24" s="32" t="s">
        <v>64</v>
      </c>
      <c r="C24" s="32" t="s">
        <v>65</v>
      </c>
      <c r="D24" s="32" t="s">
        <v>56</v>
      </c>
      <c r="E24" s="32" t="s">
        <v>57</v>
      </c>
      <c r="F24" s="33" t="s">
        <v>117</v>
      </c>
      <c r="G24" s="33" t="s">
        <v>80</v>
      </c>
      <c r="H24" s="32"/>
      <c r="I24" s="34">
        <v>46167.0</v>
      </c>
      <c r="J24" s="33" t="s">
        <v>60</v>
      </c>
      <c r="K24" s="33" t="s">
        <v>61</v>
      </c>
      <c r="L24" s="32" t="s">
        <v>81</v>
      </c>
      <c r="M24" s="33" t="s">
        <v>61</v>
      </c>
      <c r="N24" s="32">
        <v>0.0</v>
      </c>
      <c r="O24" s="32">
        <v>0.0</v>
      </c>
      <c r="P24" s="33">
        <v>1.0</v>
      </c>
      <c r="Q24" s="35" t="s">
        <v>118</v>
      </c>
      <c r="R24" s="33" t="s">
        <v>115</v>
      </c>
      <c r="S24" s="42" t="s">
        <v>119</v>
      </c>
    </row>
    <row r="25" ht="38.25" customHeight="1">
      <c r="A25" s="33">
        <v>18.0</v>
      </c>
      <c r="B25" s="32" t="s">
        <v>68</v>
      </c>
      <c r="C25" s="32" t="s">
        <v>69</v>
      </c>
      <c r="D25" s="32" t="s">
        <v>56</v>
      </c>
      <c r="E25" s="32" t="s">
        <v>57</v>
      </c>
      <c r="F25" s="33" t="s">
        <v>120</v>
      </c>
      <c r="G25" s="33" t="s">
        <v>80</v>
      </c>
      <c r="H25" s="32"/>
      <c r="I25" s="34">
        <v>46167.0</v>
      </c>
      <c r="J25" s="33" t="s">
        <v>60</v>
      </c>
      <c r="K25" s="33" t="s">
        <v>61</v>
      </c>
      <c r="L25" s="32" t="s">
        <v>81</v>
      </c>
      <c r="M25" s="33" t="s">
        <v>61</v>
      </c>
      <c r="N25" s="32">
        <v>0.0</v>
      </c>
      <c r="O25" s="32">
        <v>0.0</v>
      </c>
      <c r="P25" s="33">
        <v>1.0</v>
      </c>
      <c r="Q25" s="35" t="s">
        <v>121</v>
      </c>
      <c r="R25" s="33" t="s">
        <v>115</v>
      </c>
    </row>
    <row r="26" ht="18.0" customHeight="1">
      <c r="A26" s="33">
        <v>19.0</v>
      </c>
      <c r="B26" s="32" t="s">
        <v>71</v>
      </c>
      <c r="C26" s="32" t="s">
        <v>72</v>
      </c>
      <c r="D26" s="32" t="s">
        <v>56</v>
      </c>
      <c r="E26" s="32" t="s">
        <v>57</v>
      </c>
      <c r="F26" s="33" t="s">
        <v>120</v>
      </c>
      <c r="G26" s="33" t="s">
        <v>80</v>
      </c>
      <c r="H26" s="32"/>
      <c r="I26" s="34">
        <v>46167.0</v>
      </c>
      <c r="J26" s="33" t="s">
        <v>60</v>
      </c>
      <c r="K26" s="33" t="s">
        <v>61</v>
      </c>
      <c r="L26" s="32" t="s">
        <v>81</v>
      </c>
      <c r="M26" s="33" t="s">
        <v>61</v>
      </c>
      <c r="N26" s="32">
        <v>0.0</v>
      </c>
      <c r="O26" s="32">
        <v>0.0</v>
      </c>
      <c r="P26" s="32">
        <v>0.0</v>
      </c>
      <c r="Q26" s="35" t="s">
        <v>122</v>
      </c>
      <c r="R26" s="33" t="s">
        <v>115</v>
      </c>
    </row>
    <row r="27" ht="27.75" customHeight="1">
      <c r="A27" s="33">
        <v>20.0</v>
      </c>
      <c r="B27" s="33" t="s">
        <v>74</v>
      </c>
      <c r="C27" s="33" t="s">
        <v>75</v>
      </c>
      <c r="D27" s="33" t="s">
        <v>56</v>
      </c>
      <c r="E27" s="33" t="s">
        <v>57</v>
      </c>
      <c r="F27" s="33" t="s">
        <v>123</v>
      </c>
      <c r="G27" s="33" t="s">
        <v>80</v>
      </c>
      <c r="H27" s="32"/>
      <c r="I27" s="34">
        <v>46167.0</v>
      </c>
      <c r="J27" s="33" t="s">
        <v>60</v>
      </c>
      <c r="K27" s="33" t="s">
        <v>61</v>
      </c>
      <c r="L27" s="33" t="s">
        <v>81</v>
      </c>
      <c r="M27" s="33" t="s">
        <v>61</v>
      </c>
      <c r="N27" s="49">
        <v>0.0</v>
      </c>
      <c r="O27" s="32">
        <v>0.0</v>
      </c>
      <c r="P27" s="33">
        <v>1.0</v>
      </c>
      <c r="Q27" s="35" t="s">
        <v>124</v>
      </c>
      <c r="R27" s="33" t="s">
        <v>115</v>
      </c>
      <c r="S27" s="42" t="s">
        <v>125</v>
      </c>
    </row>
    <row r="28" ht="25.5" customHeight="1">
      <c r="A28" s="50">
        <v>21.0</v>
      </c>
      <c r="B28" s="51" t="s">
        <v>126</v>
      </c>
      <c r="C28" s="51" t="s">
        <v>55</v>
      </c>
      <c r="D28" s="51" t="s">
        <v>127</v>
      </c>
      <c r="E28" s="51" t="s">
        <v>57</v>
      </c>
      <c r="F28" s="50" t="s">
        <v>128</v>
      </c>
      <c r="G28" s="50" t="s">
        <v>80</v>
      </c>
      <c r="H28" s="51"/>
      <c r="I28" s="52">
        <v>46167.0</v>
      </c>
      <c r="J28" s="53" t="s">
        <v>60</v>
      </c>
      <c r="K28" s="50" t="s">
        <v>61</v>
      </c>
      <c r="L28" s="51" t="s">
        <v>81</v>
      </c>
      <c r="M28" s="50" t="s">
        <v>61</v>
      </c>
      <c r="N28" s="51">
        <v>0.0</v>
      </c>
      <c r="O28" s="51">
        <v>0.0</v>
      </c>
      <c r="P28" s="51">
        <v>0.0</v>
      </c>
      <c r="Q28" s="50" t="s">
        <v>129</v>
      </c>
      <c r="R28" s="50" t="s">
        <v>101</v>
      </c>
      <c r="S28" s="42" t="s">
        <v>130</v>
      </c>
    </row>
    <row r="29" ht="18.0" customHeight="1">
      <c r="A29" s="50">
        <v>22.0</v>
      </c>
      <c r="B29" s="51" t="s">
        <v>131</v>
      </c>
      <c r="C29" s="51" t="s">
        <v>55</v>
      </c>
      <c r="D29" s="51" t="s">
        <v>127</v>
      </c>
      <c r="E29" s="51" t="s">
        <v>132</v>
      </c>
      <c r="F29" s="54" t="s">
        <v>133</v>
      </c>
      <c r="G29" s="50" t="s">
        <v>134</v>
      </c>
      <c r="H29" s="51"/>
      <c r="I29" s="55">
        <v>46167.0</v>
      </c>
      <c r="J29" s="50" t="s">
        <v>60</v>
      </c>
      <c r="K29" s="50" t="s">
        <v>61</v>
      </c>
      <c r="L29" s="51" t="s">
        <v>81</v>
      </c>
      <c r="M29" s="50" t="s">
        <v>61</v>
      </c>
      <c r="N29" s="51">
        <v>0.0</v>
      </c>
      <c r="O29" s="50">
        <v>5.0</v>
      </c>
      <c r="P29" s="50">
        <v>1.0</v>
      </c>
      <c r="Q29" s="56" t="s">
        <v>135</v>
      </c>
      <c r="R29" s="50" t="s">
        <v>136</v>
      </c>
    </row>
    <row r="30" ht="18.0" customHeight="1">
      <c r="A30" s="50">
        <v>23.0</v>
      </c>
      <c r="B30" s="51" t="s">
        <v>137</v>
      </c>
      <c r="C30" s="51" t="s">
        <v>55</v>
      </c>
      <c r="D30" s="51" t="s">
        <v>127</v>
      </c>
      <c r="E30" s="51" t="s">
        <v>138</v>
      </c>
      <c r="F30" s="50" t="s">
        <v>97</v>
      </c>
      <c r="G30" s="50" t="s">
        <v>80</v>
      </c>
      <c r="H30" s="51"/>
      <c r="I30" s="52">
        <v>46167.0</v>
      </c>
      <c r="J30" s="53" t="s">
        <v>60</v>
      </c>
      <c r="K30" s="51" t="s">
        <v>81</v>
      </c>
      <c r="L30" s="51" t="s">
        <v>81</v>
      </c>
      <c r="M30" s="51" t="s">
        <v>81</v>
      </c>
      <c r="N30" s="51">
        <v>0.0</v>
      </c>
      <c r="O30" s="51">
        <v>0.0</v>
      </c>
      <c r="P30" s="51">
        <v>0.0</v>
      </c>
      <c r="Q30" s="51"/>
      <c r="R30" s="51"/>
    </row>
    <row r="31" ht="18.0" customHeight="1">
      <c r="A31" s="50">
        <v>24.0</v>
      </c>
      <c r="B31" s="51" t="s">
        <v>139</v>
      </c>
      <c r="C31" s="51" t="s">
        <v>55</v>
      </c>
      <c r="D31" s="51" t="s">
        <v>127</v>
      </c>
      <c r="E31" s="51" t="s">
        <v>140</v>
      </c>
      <c r="F31" s="57" t="s">
        <v>141</v>
      </c>
      <c r="G31" s="57" t="s">
        <v>99</v>
      </c>
      <c r="H31" s="51"/>
      <c r="I31" s="52">
        <v>46168.0</v>
      </c>
      <c r="J31" s="53" t="s">
        <v>60</v>
      </c>
      <c r="K31" s="50" t="s">
        <v>61</v>
      </c>
      <c r="L31" s="51" t="s">
        <v>81</v>
      </c>
      <c r="M31" s="50" t="s">
        <v>61</v>
      </c>
      <c r="N31" s="51">
        <v>0.0</v>
      </c>
      <c r="O31" s="50">
        <v>2.0</v>
      </c>
      <c r="P31" s="50">
        <v>1.0</v>
      </c>
      <c r="Q31" s="58" t="s">
        <v>142</v>
      </c>
      <c r="R31" s="50" t="s">
        <v>136</v>
      </c>
    </row>
    <row r="32" ht="18.0" customHeight="1">
      <c r="A32" s="50">
        <v>25.0</v>
      </c>
      <c r="B32" s="51" t="s">
        <v>143</v>
      </c>
      <c r="C32" s="51" t="s">
        <v>55</v>
      </c>
      <c r="D32" s="51" t="s">
        <v>127</v>
      </c>
      <c r="E32" s="51" t="s">
        <v>144</v>
      </c>
      <c r="F32" s="57" t="s">
        <v>141</v>
      </c>
      <c r="G32" s="57" t="s">
        <v>99</v>
      </c>
      <c r="H32" s="51"/>
      <c r="I32" s="52">
        <v>46168.0</v>
      </c>
      <c r="J32" s="53" t="s">
        <v>60</v>
      </c>
      <c r="K32" s="50" t="s">
        <v>61</v>
      </c>
      <c r="L32" s="51" t="s">
        <v>81</v>
      </c>
      <c r="M32" s="50" t="s">
        <v>61</v>
      </c>
      <c r="N32" s="51">
        <v>0.0</v>
      </c>
      <c r="O32" s="51">
        <v>0.0</v>
      </c>
      <c r="P32" s="50">
        <v>1.0</v>
      </c>
      <c r="Q32" s="58" t="s">
        <v>145</v>
      </c>
      <c r="R32" s="50" t="s">
        <v>136</v>
      </c>
    </row>
    <row r="33" ht="18.0" customHeight="1">
      <c r="A33" s="50">
        <v>26.0</v>
      </c>
      <c r="B33" s="51" t="s">
        <v>146</v>
      </c>
      <c r="C33" s="51" t="s">
        <v>55</v>
      </c>
      <c r="D33" s="51" t="s">
        <v>127</v>
      </c>
      <c r="E33" s="51" t="s">
        <v>147</v>
      </c>
      <c r="F33" s="50" t="s">
        <v>148</v>
      </c>
      <c r="G33" s="50" t="s">
        <v>80</v>
      </c>
      <c r="H33" s="51"/>
      <c r="I33" s="51"/>
      <c r="J33" s="53" t="s">
        <v>60</v>
      </c>
      <c r="K33" s="50" t="s">
        <v>61</v>
      </c>
      <c r="L33" s="51" t="s">
        <v>81</v>
      </c>
      <c r="M33" s="50" t="s">
        <v>61</v>
      </c>
      <c r="N33" s="51">
        <v>0.0</v>
      </c>
      <c r="O33" s="51">
        <v>0.0</v>
      </c>
      <c r="P33" s="50">
        <v>2.0</v>
      </c>
      <c r="Q33" s="51"/>
      <c r="R33" s="50" t="s">
        <v>115</v>
      </c>
    </row>
    <row r="34" ht="18.0" customHeight="1">
      <c r="A34" s="50">
        <v>27.0</v>
      </c>
      <c r="B34" s="51" t="s">
        <v>149</v>
      </c>
      <c r="C34" s="51" t="s">
        <v>55</v>
      </c>
      <c r="D34" s="51" t="s">
        <v>127</v>
      </c>
      <c r="E34" s="51" t="s">
        <v>150</v>
      </c>
      <c r="F34" s="50" t="s">
        <v>151</v>
      </c>
      <c r="G34" s="50" t="s">
        <v>152</v>
      </c>
      <c r="H34" s="51"/>
      <c r="I34" s="52">
        <v>46167.0</v>
      </c>
      <c r="J34" s="50" t="s">
        <v>60</v>
      </c>
      <c r="K34" s="51" t="s">
        <v>81</v>
      </c>
      <c r="L34" s="51" t="s">
        <v>81</v>
      </c>
      <c r="M34" s="51" t="s">
        <v>81</v>
      </c>
      <c r="N34" s="51">
        <v>0.0</v>
      </c>
      <c r="O34" s="51">
        <v>0.0</v>
      </c>
      <c r="P34" s="51">
        <v>0.0</v>
      </c>
      <c r="Q34" s="56" t="s">
        <v>153</v>
      </c>
      <c r="R34" s="50" t="s">
        <v>154</v>
      </c>
    </row>
    <row r="35" ht="18.0" customHeight="1">
      <c r="A35" s="50">
        <v>28.0</v>
      </c>
      <c r="B35" s="51" t="s">
        <v>155</v>
      </c>
      <c r="C35" s="51" t="s">
        <v>55</v>
      </c>
      <c r="D35" s="51" t="s">
        <v>127</v>
      </c>
      <c r="E35" s="51" t="s">
        <v>156</v>
      </c>
      <c r="F35" s="50" t="s">
        <v>157</v>
      </c>
      <c r="G35" s="50" t="s">
        <v>158</v>
      </c>
      <c r="H35" s="51"/>
      <c r="I35" s="52">
        <v>46167.0</v>
      </c>
      <c r="J35" s="50" t="s">
        <v>60</v>
      </c>
      <c r="K35" s="51" t="s">
        <v>81</v>
      </c>
      <c r="L35" s="51" t="s">
        <v>81</v>
      </c>
      <c r="M35" s="51" t="s">
        <v>81</v>
      </c>
      <c r="N35" s="51">
        <v>0.0</v>
      </c>
      <c r="O35" s="51">
        <v>0.0</v>
      </c>
      <c r="P35" s="51">
        <v>0.0</v>
      </c>
      <c r="Q35" s="56" t="s">
        <v>159</v>
      </c>
      <c r="R35" s="50" t="s">
        <v>154</v>
      </c>
    </row>
    <row r="36" ht="18.0" customHeight="1">
      <c r="A36" s="50">
        <v>29.0</v>
      </c>
      <c r="B36" s="51" t="s">
        <v>160</v>
      </c>
      <c r="C36" s="51" t="s">
        <v>55</v>
      </c>
      <c r="D36" s="51" t="s">
        <v>127</v>
      </c>
      <c r="E36" s="51" t="s">
        <v>161</v>
      </c>
      <c r="F36" s="50" t="s">
        <v>162</v>
      </c>
      <c r="G36" s="50" t="s">
        <v>163</v>
      </c>
      <c r="H36" s="51"/>
      <c r="I36" s="59">
        <v>46167.0</v>
      </c>
      <c r="J36" s="53" t="s">
        <v>60</v>
      </c>
      <c r="K36" s="50" t="s">
        <v>61</v>
      </c>
      <c r="L36" s="50" t="s">
        <v>61</v>
      </c>
      <c r="M36" s="50" t="s">
        <v>61</v>
      </c>
      <c r="N36" s="51">
        <v>0.0</v>
      </c>
      <c r="O36" s="51">
        <v>0.0</v>
      </c>
      <c r="P36" s="50">
        <v>2.0</v>
      </c>
      <c r="Q36" s="56" t="s">
        <v>164</v>
      </c>
      <c r="R36" s="50" t="s">
        <v>63</v>
      </c>
    </row>
    <row r="37" ht="18.0" customHeight="1">
      <c r="A37" s="50">
        <v>30.0</v>
      </c>
      <c r="B37" s="51" t="s">
        <v>165</v>
      </c>
      <c r="C37" s="51" t="s">
        <v>55</v>
      </c>
      <c r="D37" s="51" t="s">
        <v>127</v>
      </c>
      <c r="E37" s="51" t="s">
        <v>166</v>
      </c>
      <c r="F37" s="50" t="s">
        <v>167</v>
      </c>
      <c r="G37" s="50" t="s">
        <v>168</v>
      </c>
      <c r="H37" s="51"/>
      <c r="I37" s="52">
        <v>46167.0</v>
      </c>
      <c r="J37" s="50" t="s">
        <v>60</v>
      </c>
      <c r="K37" s="51" t="s">
        <v>81</v>
      </c>
      <c r="L37" s="51" t="s">
        <v>81</v>
      </c>
      <c r="M37" s="51" t="s">
        <v>81</v>
      </c>
      <c r="N37" s="51">
        <v>0.0</v>
      </c>
      <c r="O37" s="51">
        <v>0.0</v>
      </c>
      <c r="P37" s="51">
        <v>0.0</v>
      </c>
      <c r="Q37" s="58" t="s">
        <v>169</v>
      </c>
      <c r="R37" s="50" t="s">
        <v>154</v>
      </c>
    </row>
    <row r="38" ht="18.0" customHeight="1">
      <c r="A38" s="50">
        <v>31.0</v>
      </c>
      <c r="B38" s="51" t="s">
        <v>170</v>
      </c>
      <c r="C38" s="51" t="s">
        <v>55</v>
      </c>
      <c r="D38" s="51" t="s">
        <v>127</v>
      </c>
      <c r="E38" s="51" t="s">
        <v>171</v>
      </c>
      <c r="F38" s="50" t="s">
        <v>172</v>
      </c>
      <c r="G38" s="50" t="s">
        <v>99</v>
      </c>
      <c r="H38" s="51"/>
      <c r="I38" s="52">
        <v>46168.0</v>
      </c>
      <c r="J38" s="53" t="s">
        <v>60</v>
      </c>
      <c r="K38" s="50" t="s">
        <v>61</v>
      </c>
      <c r="L38" s="50" t="s">
        <v>81</v>
      </c>
      <c r="M38" s="50" t="s">
        <v>61</v>
      </c>
      <c r="N38" s="50">
        <v>15.0</v>
      </c>
      <c r="O38" s="50">
        <v>29.0</v>
      </c>
      <c r="P38" s="50">
        <v>2.0</v>
      </c>
      <c r="Q38" s="58" t="s">
        <v>173</v>
      </c>
      <c r="R38" s="50" t="s">
        <v>174</v>
      </c>
    </row>
    <row r="39" ht="18.0" customHeight="1">
      <c r="A39" s="50">
        <v>32.0</v>
      </c>
      <c r="B39" s="51" t="s">
        <v>175</v>
      </c>
      <c r="C39" s="51" t="s">
        <v>55</v>
      </c>
      <c r="D39" s="51" t="s">
        <v>127</v>
      </c>
      <c r="E39" s="51" t="s">
        <v>176</v>
      </c>
      <c r="F39" s="50" t="s">
        <v>141</v>
      </c>
      <c r="G39" s="50" t="s">
        <v>99</v>
      </c>
      <c r="H39" s="51"/>
      <c r="I39" s="52">
        <v>46169.0</v>
      </c>
      <c r="J39" s="53" t="s">
        <v>60</v>
      </c>
      <c r="K39" s="50" t="s">
        <v>61</v>
      </c>
      <c r="L39" s="51" t="s">
        <v>81</v>
      </c>
      <c r="M39" s="50" t="s">
        <v>61</v>
      </c>
      <c r="N39" s="51">
        <v>0.0</v>
      </c>
      <c r="O39" s="50">
        <v>1.0</v>
      </c>
      <c r="P39" s="50">
        <v>1.0</v>
      </c>
      <c r="Q39" s="58" t="s">
        <v>177</v>
      </c>
      <c r="R39" s="50" t="s">
        <v>136</v>
      </c>
    </row>
    <row r="40" ht="18.0" customHeight="1">
      <c r="A40" s="50">
        <v>33.0</v>
      </c>
      <c r="B40" s="51" t="s">
        <v>178</v>
      </c>
      <c r="C40" s="51" t="s">
        <v>55</v>
      </c>
      <c r="D40" s="51" t="s">
        <v>127</v>
      </c>
      <c r="E40" s="51" t="s">
        <v>179</v>
      </c>
      <c r="F40" s="50" t="s">
        <v>180</v>
      </c>
      <c r="G40" s="50" t="s">
        <v>80</v>
      </c>
      <c r="H40" s="51"/>
      <c r="I40" s="52">
        <v>46168.0</v>
      </c>
      <c r="J40" s="53" t="s">
        <v>60</v>
      </c>
      <c r="K40" s="50" t="s">
        <v>61</v>
      </c>
      <c r="L40" s="51" t="s">
        <v>81</v>
      </c>
      <c r="M40" s="50" t="s">
        <v>61</v>
      </c>
      <c r="N40" s="51">
        <v>0.0</v>
      </c>
      <c r="O40" s="51">
        <v>0.0</v>
      </c>
      <c r="P40" s="51">
        <v>0.0</v>
      </c>
      <c r="Q40" s="51"/>
      <c r="R40" s="50" t="s">
        <v>83</v>
      </c>
    </row>
    <row r="41" ht="18.0" customHeight="1">
      <c r="A41" s="50">
        <v>34.0</v>
      </c>
      <c r="B41" s="51" t="s">
        <v>181</v>
      </c>
      <c r="C41" s="51" t="s">
        <v>55</v>
      </c>
      <c r="D41" s="51" t="s">
        <v>127</v>
      </c>
      <c r="E41" s="51" t="s">
        <v>182</v>
      </c>
      <c r="F41" s="50" t="s">
        <v>183</v>
      </c>
      <c r="G41" s="50" t="s">
        <v>99</v>
      </c>
      <c r="H41" s="51"/>
      <c r="I41" s="52">
        <v>46169.0</v>
      </c>
      <c r="J41" s="53" t="s">
        <v>60</v>
      </c>
      <c r="K41" s="50" t="s">
        <v>61</v>
      </c>
      <c r="L41" s="51" t="s">
        <v>81</v>
      </c>
      <c r="M41" s="50" t="s">
        <v>61</v>
      </c>
      <c r="N41" s="50">
        <v>12.0</v>
      </c>
      <c r="O41" s="50">
        <v>28.0</v>
      </c>
      <c r="P41" s="50">
        <v>3.0</v>
      </c>
      <c r="Q41" s="56" t="s">
        <v>184</v>
      </c>
      <c r="R41" s="50" t="s">
        <v>174</v>
      </c>
    </row>
    <row r="42" ht="18.0" customHeight="1">
      <c r="A42" s="50">
        <v>35.0</v>
      </c>
      <c r="B42" s="51" t="s">
        <v>185</v>
      </c>
      <c r="C42" s="51" t="s">
        <v>65</v>
      </c>
      <c r="D42" s="51" t="s">
        <v>127</v>
      </c>
      <c r="E42" s="51" t="s">
        <v>57</v>
      </c>
      <c r="F42" s="50" t="s">
        <v>186</v>
      </c>
      <c r="G42" s="50" t="s">
        <v>187</v>
      </c>
      <c r="H42" s="51"/>
      <c r="I42" s="52">
        <v>46170.0</v>
      </c>
      <c r="J42" s="53" t="s">
        <v>60</v>
      </c>
      <c r="K42" s="50" t="s">
        <v>61</v>
      </c>
      <c r="L42" s="51" t="s">
        <v>81</v>
      </c>
      <c r="M42" s="50" t="s">
        <v>61</v>
      </c>
      <c r="N42" s="51">
        <v>0.0</v>
      </c>
      <c r="O42" s="51">
        <v>0.0</v>
      </c>
      <c r="P42" s="51">
        <v>0.0</v>
      </c>
      <c r="Q42" s="60" t="s">
        <v>188</v>
      </c>
      <c r="R42" s="50" t="s">
        <v>101</v>
      </c>
    </row>
    <row r="43" ht="18.0" customHeight="1">
      <c r="A43" s="50">
        <v>36.0</v>
      </c>
      <c r="B43" s="51" t="s">
        <v>189</v>
      </c>
      <c r="C43" s="51" t="s">
        <v>65</v>
      </c>
      <c r="D43" s="51" t="s">
        <v>127</v>
      </c>
      <c r="E43" s="51" t="s">
        <v>132</v>
      </c>
      <c r="F43" s="61" t="s">
        <v>133</v>
      </c>
      <c r="G43" s="50" t="s">
        <v>134</v>
      </c>
      <c r="H43" s="51"/>
      <c r="I43" s="55">
        <v>46167.0</v>
      </c>
      <c r="J43" s="53" t="s">
        <v>60</v>
      </c>
      <c r="K43" s="50" t="s">
        <v>61</v>
      </c>
      <c r="L43" s="51" t="s">
        <v>81</v>
      </c>
      <c r="M43" s="50" t="s">
        <v>61</v>
      </c>
      <c r="N43" s="51">
        <v>0.0</v>
      </c>
      <c r="O43" s="51">
        <v>0.0</v>
      </c>
      <c r="P43" s="50">
        <v>0.0</v>
      </c>
      <c r="Q43" s="56" t="s">
        <v>190</v>
      </c>
      <c r="R43" s="50" t="s">
        <v>136</v>
      </c>
    </row>
    <row r="44" ht="18.0" customHeight="1">
      <c r="A44" s="50">
        <v>37.0</v>
      </c>
      <c r="B44" s="51" t="s">
        <v>191</v>
      </c>
      <c r="C44" s="51" t="s">
        <v>65</v>
      </c>
      <c r="D44" s="51" t="s">
        <v>127</v>
      </c>
      <c r="E44" s="51" t="s">
        <v>138</v>
      </c>
      <c r="F44" s="51"/>
      <c r="G44" s="51"/>
      <c r="H44" s="51"/>
      <c r="I44" s="51"/>
      <c r="J44" s="51" t="s">
        <v>192</v>
      </c>
      <c r="K44" s="51" t="s">
        <v>81</v>
      </c>
      <c r="L44" s="51" t="s">
        <v>81</v>
      </c>
      <c r="M44" s="51" t="s">
        <v>81</v>
      </c>
      <c r="N44" s="51">
        <v>0.0</v>
      </c>
      <c r="O44" s="51">
        <v>0.0</v>
      </c>
      <c r="P44" s="51">
        <v>0.0</v>
      </c>
      <c r="Q44" s="51"/>
      <c r="R44" s="51"/>
    </row>
    <row r="45" ht="18.0" customHeight="1">
      <c r="A45" s="50">
        <v>38.0</v>
      </c>
      <c r="B45" s="51" t="s">
        <v>193</v>
      </c>
      <c r="C45" s="51" t="s">
        <v>65</v>
      </c>
      <c r="D45" s="51" t="s">
        <v>127</v>
      </c>
      <c r="E45" s="51" t="s">
        <v>140</v>
      </c>
      <c r="F45" s="50" t="s">
        <v>194</v>
      </c>
      <c r="G45" s="50" t="s">
        <v>195</v>
      </c>
      <c r="H45" s="51"/>
      <c r="I45" s="52">
        <v>46168.0</v>
      </c>
      <c r="J45" s="53" t="s">
        <v>60</v>
      </c>
      <c r="K45" s="50" t="s">
        <v>61</v>
      </c>
      <c r="L45" s="51" t="s">
        <v>81</v>
      </c>
      <c r="M45" s="50" t="s">
        <v>61</v>
      </c>
      <c r="N45" s="51">
        <v>0.0</v>
      </c>
      <c r="O45" s="51">
        <v>0.0</v>
      </c>
      <c r="P45" s="51">
        <v>0.0</v>
      </c>
      <c r="Q45" s="56" t="s">
        <v>196</v>
      </c>
      <c r="R45" s="50" t="s">
        <v>136</v>
      </c>
    </row>
    <row r="46" ht="18.0" customHeight="1">
      <c r="A46" s="50">
        <v>39.0</v>
      </c>
      <c r="B46" s="51" t="s">
        <v>197</v>
      </c>
      <c r="C46" s="51" t="s">
        <v>65</v>
      </c>
      <c r="D46" s="51" t="s">
        <v>127</v>
      </c>
      <c r="E46" s="51" t="s">
        <v>144</v>
      </c>
      <c r="F46" s="62" t="s">
        <v>198</v>
      </c>
      <c r="G46" s="63" t="s">
        <v>199</v>
      </c>
      <c r="H46" s="50"/>
      <c r="I46" s="64">
        <v>46168.0</v>
      </c>
      <c r="J46" s="53" t="s">
        <v>60</v>
      </c>
      <c r="K46" s="50" t="s">
        <v>61</v>
      </c>
      <c r="L46" s="51" t="s">
        <v>81</v>
      </c>
      <c r="M46" s="50" t="s">
        <v>61</v>
      </c>
      <c r="N46" s="51">
        <v>0.0</v>
      </c>
      <c r="O46" s="51">
        <v>0.0</v>
      </c>
      <c r="P46" s="51">
        <v>0.0</v>
      </c>
      <c r="Q46" s="56" t="s">
        <v>200</v>
      </c>
      <c r="R46" s="50" t="s">
        <v>136</v>
      </c>
    </row>
    <row r="47" ht="18.0" customHeight="1">
      <c r="A47" s="50">
        <v>40.0</v>
      </c>
      <c r="B47" s="51" t="s">
        <v>201</v>
      </c>
      <c r="C47" s="51" t="s">
        <v>65</v>
      </c>
      <c r="D47" s="51" t="s">
        <v>127</v>
      </c>
      <c r="E47" s="51" t="s">
        <v>147</v>
      </c>
      <c r="F47" s="50" t="s">
        <v>148</v>
      </c>
      <c r="G47" s="50" t="s">
        <v>80</v>
      </c>
      <c r="H47" s="51"/>
      <c r="I47" s="51"/>
      <c r="J47" s="53" t="s">
        <v>60</v>
      </c>
      <c r="K47" s="50" t="s">
        <v>61</v>
      </c>
      <c r="L47" s="51" t="s">
        <v>81</v>
      </c>
      <c r="M47" s="50" t="s">
        <v>61</v>
      </c>
      <c r="N47" s="51">
        <v>0.0</v>
      </c>
      <c r="O47" s="51">
        <v>0.0</v>
      </c>
      <c r="P47" s="51">
        <v>0.0</v>
      </c>
      <c r="Q47" s="51"/>
      <c r="R47" s="50" t="s">
        <v>115</v>
      </c>
    </row>
    <row r="48" ht="18.0" customHeight="1">
      <c r="A48" s="50">
        <v>41.0</v>
      </c>
      <c r="B48" s="51" t="s">
        <v>202</v>
      </c>
      <c r="C48" s="51" t="s">
        <v>65</v>
      </c>
      <c r="D48" s="51" t="s">
        <v>127</v>
      </c>
      <c r="E48" s="51" t="s">
        <v>150</v>
      </c>
      <c r="F48" s="50" t="s">
        <v>151</v>
      </c>
      <c r="G48" s="50" t="s">
        <v>152</v>
      </c>
      <c r="H48" s="51"/>
      <c r="I48" s="52">
        <v>46167.0</v>
      </c>
      <c r="J48" s="51" t="s">
        <v>192</v>
      </c>
      <c r="K48" s="51" t="s">
        <v>81</v>
      </c>
      <c r="L48" s="51" t="s">
        <v>81</v>
      </c>
      <c r="M48" s="51" t="s">
        <v>81</v>
      </c>
      <c r="N48" s="51">
        <v>0.0</v>
      </c>
      <c r="O48" s="51">
        <v>0.0</v>
      </c>
      <c r="P48" s="51">
        <v>0.0</v>
      </c>
      <c r="Q48" s="51"/>
      <c r="R48" s="50" t="s">
        <v>154</v>
      </c>
    </row>
    <row r="49" ht="18.0" customHeight="1">
      <c r="A49" s="50">
        <v>42.0</v>
      </c>
      <c r="B49" s="51" t="s">
        <v>203</v>
      </c>
      <c r="C49" s="51" t="s">
        <v>65</v>
      </c>
      <c r="D49" s="51" t="s">
        <v>127</v>
      </c>
      <c r="E49" s="51" t="s">
        <v>156</v>
      </c>
      <c r="F49" s="50" t="s">
        <v>157</v>
      </c>
      <c r="G49" s="50" t="s">
        <v>204</v>
      </c>
      <c r="H49" s="51"/>
      <c r="I49" s="52">
        <v>46171.0</v>
      </c>
      <c r="J49" s="51" t="s">
        <v>192</v>
      </c>
      <c r="K49" s="51" t="s">
        <v>81</v>
      </c>
      <c r="L49" s="51" t="s">
        <v>81</v>
      </c>
      <c r="M49" s="51" t="s">
        <v>81</v>
      </c>
      <c r="N49" s="51">
        <v>0.0</v>
      </c>
      <c r="O49" s="51">
        <v>0.0</v>
      </c>
      <c r="P49" s="51">
        <v>0.0</v>
      </c>
      <c r="Q49" s="51"/>
      <c r="R49" s="50" t="s">
        <v>154</v>
      </c>
    </row>
    <row r="50" ht="18.0" customHeight="1">
      <c r="A50" s="50">
        <v>43.0</v>
      </c>
      <c r="B50" s="51" t="s">
        <v>205</v>
      </c>
      <c r="C50" s="51" t="s">
        <v>65</v>
      </c>
      <c r="D50" s="51" t="s">
        <v>127</v>
      </c>
      <c r="E50" s="51" t="s">
        <v>161</v>
      </c>
      <c r="F50" s="50" t="s">
        <v>162</v>
      </c>
      <c r="G50" s="50" t="s">
        <v>206</v>
      </c>
      <c r="H50" s="51"/>
      <c r="I50" s="51"/>
      <c r="J50" s="53" t="s">
        <v>60</v>
      </c>
      <c r="K50" s="50" t="s">
        <v>61</v>
      </c>
      <c r="L50" s="51" t="s">
        <v>81</v>
      </c>
      <c r="M50" s="50" t="s">
        <v>61</v>
      </c>
      <c r="N50" s="51">
        <v>0.0</v>
      </c>
      <c r="O50" s="51">
        <v>0.0</v>
      </c>
      <c r="P50" s="50">
        <v>2.0</v>
      </c>
      <c r="Q50" s="56" t="s">
        <v>207</v>
      </c>
      <c r="R50" s="50" t="s">
        <v>208</v>
      </c>
    </row>
    <row r="51" ht="18.0" customHeight="1">
      <c r="A51" s="50">
        <v>44.0</v>
      </c>
      <c r="B51" s="51" t="s">
        <v>209</v>
      </c>
      <c r="C51" s="51" t="s">
        <v>65</v>
      </c>
      <c r="D51" s="51" t="s">
        <v>127</v>
      </c>
      <c r="E51" s="51" t="s">
        <v>166</v>
      </c>
      <c r="F51" s="50" t="s">
        <v>210</v>
      </c>
      <c r="G51" s="50" t="s">
        <v>168</v>
      </c>
      <c r="H51" s="51"/>
      <c r="I51" s="52">
        <v>46168.0</v>
      </c>
      <c r="J51" s="51" t="s">
        <v>192</v>
      </c>
      <c r="K51" s="51" t="s">
        <v>81</v>
      </c>
      <c r="L51" s="51" t="s">
        <v>81</v>
      </c>
      <c r="M51" s="51" t="s">
        <v>81</v>
      </c>
      <c r="N51" s="51">
        <v>0.0</v>
      </c>
      <c r="O51" s="51">
        <v>0.0</v>
      </c>
      <c r="P51" s="51">
        <v>0.0</v>
      </c>
      <c r="Q51" s="51"/>
      <c r="R51" s="50" t="s">
        <v>154</v>
      </c>
    </row>
    <row r="52" ht="18.0" customHeight="1">
      <c r="A52" s="50">
        <v>45.0</v>
      </c>
      <c r="B52" s="51" t="s">
        <v>211</v>
      </c>
      <c r="C52" s="51" t="s">
        <v>65</v>
      </c>
      <c r="D52" s="51" t="s">
        <v>127</v>
      </c>
      <c r="E52" s="51" t="s">
        <v>171</v>
      </c>
      <c r="F52" s="50" t="s">
        <v>212</v>
      </c>
      <c r="G52" s="50" t="s">
        <v>99</v>
      </c>
      <c r="H52" s="51"/>
      <c r="I52" s="50" t="s">
        <v>213</v>
      </c>
      <c r="J52" s="50" t="s">
        <v>60</v>
      </c>
      <c r="K52" s="50" t="s">
        <v>61</v>
      </c>
      <c r="L52" s="51" t="s">
        <v>81</v>
      </c>
      <c r="M52" s="50" t="s">
        <v>61</v>
      </c>
      <c r="N52" s="50">
        <v>32.0</v>
      </c>
      <c r="O52" s="50">
        <v>38.0</v>
      </c>
      <c r="P52" s="50">
        <v>5.0</v>
      </c>
      <c r="Q52" s="56" t="s">
        <v>214</v>
      </c>
      <c r="R52" s="50" t="s">
        <v>215</v>
      </c>
    </row>
    <row r="53" ht="18.0" customHeight="1">
      <c r="A53" s="50">
        <v>46.0</v>
      </c>
      <c r="B53" s="51" t="s">
        <v>216</v>
      </c>
      <c r="C53" s="51" t="s">
        <v>65</v>
      </c>
      <c r="D53" s="51" t="s">
        <v>127</v>
      </c>
      <c r="E53" s="51" t="s">
        <v>176</v>
      </c>
      <c r="F53" s="50" t="s">
        <v>180</v>
      </c>
      <c r="G53" s="50" t="s">
        <v>80</v>
      </c>
      <c r="H53" s="51"/>
      <c r="I53" s="52">
        <v>46171.0</v>
      </c>
      <c r="J53" s="51" t="s">
        <v>192</v>
      </c>
      <c r="K53" s="51" t="s">
        <v>81</v>
      </c>
      <c r="L53" s="51" t="s">
        <v>81</v>
      </c>
      <c r="M53" s="51" t="s">
        <v>81</v>
      </c>
      <c r="N53" s="51">
        <v>0.0</v>
      </c>
      <c r="O53" s="51">
        <v>0.0</v>
      </c>
      <c r="P53" s="51">
        <v>0.0</v>
      </c>
      <c r="Q53" s="51"/>
      <c r="R53" s="51"/>
    </row>
    <row r="54" ht="18.0" customHeight="1">
      <c r="A54" s="50">
        <v>47.0</v>
      </c>
      <c r="B54" s="51" t="s">
        <v>217</v>
      </c>
      <c r="C54" s="51" t="s">
        <v>65</v>
      </c>
      <c r="D54" s="51" t="s">
        <v>127</v>
      </c>
      <c r="E54" s="51" t="s">
        <v>179</v>
      </c>
      <c r="F54" s="51" t="s">
        <v>218</v>
      </c>
      <c r="G54" s="51" t="s">
        <v>219</v>
      </c>
      <c r="H54" s="51"/>
      <c r="I54" s="52">
        <v>46171.0</v>
      </c>
      <c r="J54" s="53" t="s">
        <v>60</v>
      </c>
      <c r="K54" s="50" t="s">
        <v>61</v>
      </c>
      <c r="L54" s="51" t="s">
        <v>81</v>
      </c>
      <c r="M54" s="50" t="s">
        <v>61</v>
      </c>
      <c r="N54" s="51">
        <v>0.0</v>
      </c>
      <c r="O54" s="51">
        <v>0.0</v>
      </c>
      <c r="P54" s="51">
        <v>0.0</v>
      </c>
      <c r="Q54" s="56" t="s">
        <v>220</v>
      </c>
      <c r="R54" s="50" t="s">
        <v>136</v>
      </c>
      <c r="S54" s="42" t="s">
        <v>221</v>
      </c>
    </row>
    <row r="55" ht="18.0" customHeight="1">
      <c r="A55" s="50">
        <v>48.0</v>
      </c>
      <c r="B55" s="51" t="s">
        <v>222</v>
      </c>
      <c r="C55" s="51" t="s">
        <v>65</v>
      </c>
      <c r="D55" s="51" t="s">
        <v>127</v>
      </c>
      <c r="E55" s="51" t="s">
        <v>182</v>
      </c>
      <c r="F55" s="50" t="s">
        <v>223</v>
      </c>
      <c r="G55" s="50" t="s">
        <v>99</v>
      </c>
      <c r="H55" s="51"/>
      <c r="I55" s="52">
        <v>46169.0</v>
      </c>
      <c r="J55" s="53" t="s">
        <v>60</v>
      </c>
      <c r="K55" s="50" t="s">
        <v>61</v>
      </c>
      <c r="L55" s="51" t="s">
        <v>81</v>
      </c>
      <c r="M55" s="50" t="s">
        <v>61</v>
      </c>
      <c r="N55" s="50">
        <v>24.0</v>
      </c>
      <c r="O55" s="50">
        <v>29.0</v>
      </c>
      <c r="P55" s="50">
        <v>3.0</v>
      </c>
      <c r="Q55" s="56" t="s">
        <v>224</v>
      </c>
      <c r="R55" s="50" t="s">
        <v>215</v>
      </c>
    </row>
    <row r="56" ht="18.0" customHeight="1">
      <c r="A56" s="50">
        <v>49.0</v>
      </c>
      <c r="B56" s="51" t="s">
        <v>225</v>
      </c>
      <c r="C56" s="51" t="s">
        <v>69</v>
      </c>
      <c r="D56" s="51" t="s">
        <v>127</v>
      </c>
      <c r="E56" s="51" t="s">
        <v>57</v>
      </c>
      <c r="F56" s="51"/>
      <c r="G56" s="51"/>
      <c r="H56" s="51"/>
      <c r="I56" s="51"/>
      <c r="J56" s="51" t="s">
        <v>192</v>
      </c>
      <c r="K56" s="51" t="s">
        <v>81</v>
      </c>
      <c r="L56" s="51" t="s">
        <v>81</v>
      </c>
      <c r="M56" s="51" t="s">
        <v>81</v>
      </c>
      <c r="N56" s="51">
        <v>0.0</v>
      </c>
      <c r="O56" s="51">
        <v>0.0</v>
      </c>
      <c r="P56" s="51">
        <v>0.0</v>
      </c>
      <c r="Q56" s="51"/>
      <c r="R56" s="51"/>
    </row>
    <row r="57" ht="18.0" customHeight="1">
      <c r="A57" s="50">
        <v>50.0</v>
      </c>
      <c r="B57" s="51" t="s">
        <v>226</v>
      </c>
      <c r="C57" s="51" t="s">
        <v>69</v>
      </c>
      <c r="D57" s="51" t="s">
        <v>127</v>
      </c>
      <c r="E57" s="51" t="s">
        <v>132</v>
      </c>
      <c r="F57" s="65" t="s">
        <v>133</v>
      </c>
      <c r="G57" s="50" t="s">
        <v>134</v>
      </c>
      <c r="H57" s="51"/>
      <c r="I57" s="55">
        <v>46167.0</v>
      </c>
      <c r="J57" s="53" t="s">
        <v>60</v>
      </c>
      <c r="K57" s="50" t="s">
        <v>61</v>
      </c>
      <c r="L57" s="51" t="s">
        <v>81</v>
      </c>
      <c r="M57" s="50" t="s">
        <v>61</v>
      </c>
      <c r="N57" s="51">
        <v>0.0</v>
      </c>
      <c r="O57" s="51">
        <v>0.0</v>
      </c>
      <c r="P57" s="50">
        <v>1.0</v>
      </c>
      <c r="Q57" s="56" t="s">
        <v>227</v>
      </c>
      <c r="R57" s="50" t="s">
        <v>136</v>
      </c>
    </row>
    <row r="58" ht="18.0" customHeight="1">
      <c r="A58" s="50">
        <v>51.0</v>
      </c>
      <c r="B58" s="51" t="s">
        <v>228</v>
      </c>
      <c r="C58" s="51" t="s">
        <v>69</v>
      </c>
      <c r="D58" s="51" t="s">
        <v>127</v>
      </c>
      <c r="E58" s="51" t="s">
        <v>138</v>
      </c>
      <c r="F58" s="51"/>
      <c r="G58" s="51"/>
      <c r="H58" s="51"/>
      <c r="I58" s="51"/>
      <c r="J58" s="51" t="s">
        <v>192</v>
      </c>
      <c r="K58" s="51" t="s">
        <v>81</v>
      </c>
      <c r="L58" s="51" t="s">
        <v>81</v>
      </c>
      <c r="M58" s="51" t="s">
        <v>81</v>
      </c>
      <c r="N58" s="51">
        <v>0.0</v>
      </c>
      <c r="O58" s="51">
        <v>0.0</v>
      </c>
      <c r="P58" s="51">
        <v>0.0</v>
      </c>
      <c r="Q58" s="51"/>
      <c r="R58" s="51"/>
    </row>
    <row r="59" ht="18.0" customHeight="1">
      <c r="A59" s="50">
        <v>52.0</v>
      </c>
      <c r="B59" s="51" t="s">
        <v>229</v>
      </c>
      <c r="C59" s="51" t="s">
        <v>69</v>
      </c>
      <c r="D59" s="51" t="s">
        <v>127</v>
      </c>
      <c r="E59" s="51" t="s">
        <v>140</v>
      </c>
      <c r="F59" s="57" t="s">
        <v>141</v>
      </c>
      <c r="G59" s="57" t="s">
        <v>99</v>
      </c>
      <c r="H59" s="51"/>
      <c r="I59" s="52">
        <v>46171.0</v>
      </c>
      <c r="J59" s="53" t="s">
        <v>60</v>
      </c>
      <c r="K59" s="50" t="s">
        <v>61</v>
      </c>
      <c r="L59" s="51" t="s">
        <v>81</v>
      </c>
      <c r="M59" s="50" t="s">
        <v>61</v>
      </c>
      <c r="N59" s="51">
        <v>0.0</v>
      </c>
      <c r="O59" s="51">
        <v>0.0</v>
      </c>
      <c r="P59" s="51">
        <v>0.0</v>
      </c>
      <c r="Q59" s="56" t="s">
        <v>230</v>
      </c>
      <c r="R59" s="50" t="s">
        <v>136</v>
      </c>
    </row>
    <row r="60" ht="18.0" customHeight="1">
      <c r="A60" s="50">
        <v>53.0</v>
      </c>
      <c r="B60" s="51" t="s">
        <v>231</v>
      </c>
      <c r="C60" s="51" t="s">
        <v>69</v>
      </c>
      <c r="D60" s="51" t="s">
        <v>127</v>
      </c>
      <c r="E60" s="51" t="s">
        <v>144</v>
      </c>
      <c r="F60" s="62" t="s">
        <v>198</v>
      </c>
      <c r="G60" s="62" t="s">
        <v>232</v>
      </c>
      <c r="H60" s="51"/>
      <c r="I60" s="52">
        <v>46168.0</v>
      </c>
      <c r="J60" s="53" t="s">
        <v>60</v>
      </c>
      <c r="K60" s="50" t="s">
        <v>233</v>
      </c>
      <c r="L60" s="51" t="s">
        <v>81</v>
      </c>
      <c r="M60" s="50" t="s">
        <v>61</v>
      </c>
      <c r="N60" s="51">
        <v>0.0</v>
      </c>
      <c r="O60" s="51">
        <v>0.0</v>
      </c>
      <c r="P60" s="50">
        <v>1.0</v>
      </c>
      <c r="Q60" s="56" t="s">
        <v>234</v>
      </c>
      <c r="R60" s="50" t="s">
        <v>136</v>
      </c>
    </row>
    <row r="61" ht="18.0" customHeight="1">
      <c r="A61" s="50">
        <v>54.0</v>
      </c>
      <c r="B61" s="51" t="s">
        <v>235</v>
      </c>
      <c r="C61" s="51" t="s">
        <v>69</v>
      </c>
      <c r="D61" s="51" t="s">
        <v>127</v>
      </c>
      <c r="E61" s="51" t="s">
        <v>147</v>
      </c>
      <c r="F61" s="50" t="s">
        <v>148</v>
      </c>
      <c r="G61" s="50" t="s">
        <v>80</v>
      </c>
      <c r="H61" s="51"/>
      <c r="I61" s="51"/>
      <c r="J61" s="53" t="s">
        <v>60</v>
      </c>
      <c r="K61" s="50" t="s">
        <v>61</v>
      </c>
      <c r="L61" s="51" t="s">
        <v>81</v>
      </c>
      <c r="M61" s="50" t="s">
        <v>61</v>
      </c>
      <c r="N61" s="51">
        <v>0.0</v>
      </c>
      <c r="O61" s="51">
        <v>0.0</v>
      </c>
      <c r="P61" s="50">
        <v>10.0</v>
      </c>
      <c r="Q61" s="51"/>
      <c r="R61" s="50" t="s">
        <v>115</v>
      </c>
    </row>
    <row r="62" ht="18.0" customHeight="1">
      <c r="A62" s="50">
        <v>55.0</v>
      </c>
      <c r="B62" s="51" t="s">
        <v>236</v>
      </c>
      <c r="C62" s="51" t="s">
        <v>69</v>
      </c>
      <c r="D62" s="51" t="s">
        <v>127</v>
      </c>
      <c r="E62" s="51" t="s">
        <v>150</v>
      </c>
      <c r="F62" s="50" t="s">
        <v>151</v>
      </c>
      <c r="G62" s="50" t="s">
        <v>152</v>
      </c>
      <c r="H62" s="51"/>
      <c r="I62" s="52">
        <v>46167.0</v>
      </c>
      <c r="J62" s="50" t="s">
        <v>60</v>
      </c>
      <c r="K62" s="51" t="s">
        <v>81</v>
      </c>
      <c r="L62" s="51" t="s">
        <v>81</v>
      </c>
      <c r="M62" s="51" t="s">
        <v>81</v>
      </c>
      <c r="N62" s="51">
        <v>0.0</v>
      </c>
      <c r="O62" s="51">
        <v>0.0</v>
      </c>
      <c r="P62" s="51">
        <v>0.0</v>
      </c>
      <c r="Q62" s="56" t="s">
        <v>237</v>
      </c>
      <c r="R62" s="50" t="s">
        <v>154</v>
      </c>
    </row>
    <row r="63" ht="18.0" customHeight="1">
      <c r="A63" s="50">
        <v>56.0</v>
      </c>
      <c r="B63" s="51" t="s">
        <v>238</v>
      </c>
      <c r="C63" s="51" t="s">
        <v>69</v>
      </c>
      <c r="D63" s="51" t="s">
        <v>127</v>
      </c>
      <c r="E63" s="51" t="s">
        <v>156</v>
      </c>
      <c r="F63" s="50" t="s">
        <v>157</v>
      </c>
      <c r="G63" s="50" t="s">
        <v>239</v>
      </c>
      <c r="H63" s="51"/>
      <c r="I63" s="52">
        <v>46168.0</v>
      </c>
      <c r="J63" s="50" t="s">
        <v>60</v>
      </c>
      <c r="K63" s="51" t="s">
        <v>81</v>
      </c>
      <c r="L63" s="51" t="s">
        <v>81</v>
      </c>
      <c r="M63" s="51" t="s">
        <v>81</v>
      </c>
      <c r="N63" s="51">
        <v>0.0</v>
      </c>
      <c r="O63" s="51">
        <v>0.0</v>
      </c>
      <c r="P63" s="51">
        <v>0.0</v>
      </c>
      <c r="Q63" s="56" t="s">
        <v>240</v>
      </c>
      <c r="R63" s="50" t="s">
        <v>154</v>
      </c>
    </row>
    <row r="64" ht="18.0" customHeight="1">
      <c r="A64" s="50">
        <v>57.0</v>
      </c>
      <c r="B64" s="51" t="s">
        <v>241</v>
      </c>
      <c r="C64" s="51" t="s">
        <v>69</v>
      </c>
      <c r="D64" s="51" t="s">
        <v>127</v>
      </c>
      <c r="E64" s="51" t="s">
        <v>161</v>
      </c>
      <c r="F64" s="50" t="s">
        <v>162</v>
      </c>
      <c r="G64" s="50" t="s">
        <v>163</v>
      </c>
      <c r="H64" s="51"/>
      <c r="I64" s="52">
        <v>46167.0</v>
      </c>
      <c r="J64" s="53" t="s">
        <v>60</v>
      </c>
      <c r="K64" s="50" t="s">
        <v>61</v>
      </c>
      <c r="L64" s="50" t="s">
        <v>61</v>
      </c>
      <c r="M64" s="50" t="s">
        <v>61</v>
      </c>
      <c r="N64" s="51">
        <v>0.0</v>
      </c>
      <c r="O64" s="51">
        <v>0.0</v>
      </c>
      <c r="P64" s="50">
        <v>2.0</v>
      </c>
      <c r="Q64" s="58" t="s">
        <v>242</v>
      </c>
      <c r="R64" s="50" t="s">
        <v>63</v>
      </c>
    </row>
    <row r="65" ht="18.0" customHeight="1">
      <c r="A65" s="50">
        <v>58.0</v>
      </c>
      <c r="B65" s="51" t="s">
        <v>243</v>
      </c>
      <c r="C65" s="51" t="s">
        <v>69</v>
      </c>
      <c r="D65" s="51" t="s">
        <v>127</v>
      </c>
      <c r="E65" s="51" t="s">
        <v>166</v>
      </c>
      <c r="F65" s="50" t="s">
        <v>167</v>
      </c>
      <c r="G65" s="50" t="s">
        <v>244</v>
      </c>
      <c r="H65" s="51"/>
      <c r="I65" s="52">
        <v>46167.0</v>
      </c>
      <c r="J65" s="50" t="s">
        <v>60</v>
      </c>
      <c r="K65" s="51" t="s">
        <v>81</v>
      </c>
      <c r="L65" s="51" t="s">
        <v>81</v>
      </c>
      <c r="M65" s="51" t="s">
        <v>81</v>
      </c>
      <c r="N65" s="51">
        <v>0.0</v>
      </c>
      <c r="O65" s="51">
        <v>0.0</v>
      </c>
      <c r="P65" s="51">
        <v>0.0</v>
      </c>
      <c r="Q65" s="56" t="s">
        <v>245</v>
      </c>
      <c r="R65" s="50" t="s">
        <v>154</v>
      </c>
    </row>
    <row r="66" ht="18.0" customHeight="1">
      <c r="A66" s="50">
        <v>59.0</v>
      </c>
      <c r="B66" s="51" t="s">
        <v>246</v>
      </c>
      <c r="C66" s="51" t="s">
        <v>69</v>
      </c>
      <c r="D66" s="51" t="s">
        <v>127</v>
      </c>
      <c r="E66" s="51" t="s">
        <v>171</v>
      </c>
      <c r="F66" s="50" t="s">
        <v>212</v>
      </c>
      <c r="G66" s="50" t="s">
        <v>99</v>
      </c>
      <c r="H66" s="51"/>
      <c r="I66" s="52">
        <v>46169.0</v>
      </c>
      <c r="J66" s="51" t="s">
        <v>192</v>
      </c>
      <c r="K66" s="50" t="s">
        <v>61</v>
      </c>
      <c r="L66" s="51" t="s">
        <v>81</v>
      </c>
      <c r="M66" s="50" t="s">
        <v>61</v>
      </c>
      <c r="N66" s="51">
        <v>0.0</v>
      </c>
      <c r="O66" s="50">
        <v>18.0</v>
      </c>
      <c r="P66" s="51">
        <v>0.0</v>
      </c>
      <c r="Q66" s="58" t="s">
        <v>247</v>
      </c>
      <c r="R66" s="50" t="s">
        <v>174</v>
      </c>
      <c r="S66" s="50"/>
    </row>
    <row r="67" ht="18.0" customHeight="1">
      <c r="A67" s="50">
        <v>60.0</v>
      </c>
      <c r="B67" s="51" t="s">
        <v>248</v>
      </c>
      <c r="C67" s="51" t="s">
        <v>69</v>
      </c>
      <c r="D67" s="51" t="s">
        <v>127</v>
      </c>
      <c r="E67" s="51" t="s">
        <v>176</v>
      </c>
      <c r="F67" s="57" t="s">
        <v>141</v>
      </c>
      <c r="G67" s="57" t="s">
        <v>99</v>
      </c>
      <c r="H67" s="51"/>
      <c r="I67" s="52">
        <v>46169.0</v>
      </c>
      <c r="J67" s="53" t="s">
        <v>60</v>
      </c>
      <c r="K67" s="50" t="s">
        <v>249</v>
      </c>
      <c r="L67" s="51" t="s">
        <v>81</v>
      </c>
      <c r="M67" s="50" t="s">
        <v>61</v>
      </c>
      <c r="N67" s="51">
        <v>0.0</v>
      </c>
      <c r="O67" s="50">
        <v>3.0</v>
      </c>
      <c r="P67" s="51">
        <v>0.0</v>
      </c>
      <c r="Q67" s="56" t="s">
        <v>220</v>
      </c>
      <c r="R67" s="50" t="s">
        <v>136</v>
      </c>
    </row>
    <row r="68" ht="18.0" customHeight="1">
      <c r="A68" s="50">
        <v>61.0</v>
      </c>
      <c r="B68" s="51" t="s">
        <v>250</v>
      </c>
      <c r="C68" s="51" t="s">
        <v>69</v>
      </c>
      <c r="D68" s="51" t="s">
        <v>127</v>
      </c>
      <c r="E68" s="51" t="s">
        <v>179</v>
      </c>
      <c r="F68" s="51"/>
      <c r="G68" s="51"/>
      <c r="H68" s="51"/>
      <c r="I68" s="51"/>
      <c r="J68" s="51" t="s">
        <v>192</v>
      </c>
      <c r="K68" s="51" t="s">
        <v>81</v>
      </c>
      <c r="L68" s="51" t="s">
        <v>81</v>
      </c>
      <c r="M68" s="51" t="s">
        <v>81</v>
      </c>
      <c r="N68" s="51">
        <v>0.0</v>
      </c>
      <c r="O68" s="51">
        <v>0.0</v>
      </c>
      <c r="P68" s="51">
        <v>0.0</v>
      </c>
      <c r="Q68" s="51"/>
      <c r="R68" s="51"/>
    </row>
    <row r="69" ht="18.0" customHeight="1">
      <c r="A69" s="50">
        <v>62.0</v>
      </c>
      <c r="B69" s="51" t="s">
        <v>251</v>
      </c>
      <c r="C69" s="51" t="s">
        <v>69</v>
      </c>
      <c r="D69" s="51" t="s">
        <v>127</v>
      </c>
      <c r="E69" s="51" t="s">
        <v>182</v>
      </c>
      <c r="F69" s="50" t="s">
        <v>223</v>
      </c>
      <c r="G69" s="50" t="s">
        <v>99</v>
      </c>
      <c r="H69" s="51"/>
      <c r="I69" s="52">
        <v>46169.0</v>
      </c>
      <c r="J69" s="53" t="s">
        <v>60</v>
      </c>
      <c r="K69" s="50" t="s">
        <v>61</v>
      </c>
      <c r="L69" s="51" t="s">
        <v>81</v>
      </c>
      <c r="M69" s="50" t="s">
        <v>61</v>
      </c>
      <c r="N69" s="50">
        <v>3.0</v>
      </c>
      <c r="O69" s="50">
        <v>15.0</v>
      </c>
      <c r="P69" s="50">
        <v>4.0</v>
      </c>
      <c r="Q69" s="56" t="s">
        <v>252</v>
      </c>
      <c r="R69" s="50" t="s">
        <v>174</v>
      </c>
      <c r="S69" s="50"/>
    </row>
    <row r="70" ht="18.0" customHeight="1">
      <c r="A70" s="50">
        <v>63.0</v>
      </c>
      <c r="B70" s="51" t="s">
        <v>253</v>
      </c>
      <c r="C70" s="51" t="s">
        <v>72</v>
      </c>
      <c r="D70" s="51" t="s">
        <v>127</v>
      </c>
      <c r="E70" s="51" t="s">
        <v>57</v>
      </c>
      <c r="F70" s="51"/>
      <c r="G70" s="51"/>
      <c r="H70" s="51"/>
      <c r="I70" s="51"/>
      <c r="J70" s="51" t="s">
        <v>192</v>
      </c>
      <c r="K70" s="51" t="s">
        <v>81</v>
      </c>
      <c r="L70" s="51" t="s">
        <v>81</v>
      </c>
      <c r="M70" s="51" t="s">
        <v>81</v>
      </c>
      <c r="N70" s="51">
        <v>0.0</v>
      </c>
      <c r="O70" s="51">
        <v>0.0</v>
      </c>
      <c r="P70" s="51">
        <v>0.0</v>
      </c>
      <c r="Q70" s="51"/>
      <c r="R70" s="51"/>
    </row>
    <row r="71" ht="18.0" customHeight="1">
      <c r="A71" s="50">
        <v>64.0</v>
      </c>
      <c r="B71" s="51" t="s">
        <v>254</v>
      </c>
      <c r="C71" s="51" t="s">
        <v>72</v>
      </c>
      <c r="D71" s="51" t="s">
        <v>127</v>
      </c>
      <c r="E71" s="51" t="s">
        <v>132</v>
      </c>
      <c r="F71" s="51"/>
      <c r="G71" s="51"/>
      <c r="H71" s="51"/>
      <c r="I71" s="51"/>
      <c r="J71" s="51" t="s">
        <v>192</v>
      </c>
      <c r="K71" s="51" t="s">
        <v>81</v>
      </c>
      <c r="L71" s="51" t="s">
        <v>81</v>
      </c>
      <c r="M71" s="51" t="s">
        <v>81</v>
      </c>
      <c r="N71" s="51">
        <v>0.0</v>
      </c>
      <c r="O71" s="51">
        <v>0.0</v>
      </c>
      <c r="P71" s="51">
        <v>0.0</v>
      </c>
      <c r="Q71" s="51"/>
      <c r="R71" s="51"/>
    </row>
    <row r="72" ht="18.0" customHeight="1">
      <c r="A72" s="50">
        <v>65.0</v>
      </c>
      <c r="B72" s="51" t="s">
        <v>255</v>
      </c>
      <c r="C72" s="51" t="s">
        <v>72</v>
      </c>
      <c r="D72" s="51" t="s">
        <v>127</v>
      </c>
      <c r="E72" s="51" t="s">
        <v>138</v>
      </c>
      <c r="F72" s="51"/>
      <c r="G72" s="51"/>
      <c r="H72" s="51"/>
      <c r="I72" s="51"/>
      <c r="J72" s="51" t="s">
        <v>192</v>
      </c>
      <c r="K72" s="51" t="s">
        <v>81</v>
      </c>
      <c r="L72" s="51" t="s">
        <v>81</v>
      </c>
      <c r="M72" s="51" t="s">
        <v>81</v>
      </c>
      <c r="N72" s="51">
        <v>0.0</v>
      </c>
      <c r="O72" s="51">
        <v>0.0</v>
      </c>
      <c r="P72" s="51">
        <v>0.0</v>
      </c>
      <c r="Q72" s="51"/>
      <c r="R72" s="51"/>
    </row>
    <row r="73" ht="18.0" customHeight="1">
      <c r="A73" s="50">
        <v>66.0</v>
      </c>
      <c r="B73" s="51" t="s">
        <v>256</v>
      </c>
      <c r="C73" s="51" t="s">
        <v>72</v>
      </c>
      <c r="D73" s="51" t="s">
        <v>127</v>
      </c>
      <c r="E73" s="51" t="s">
        <v>140</v>
      </c>
      <c r="F73" s="51"/>
      <c r="G73" s="51"/>
      <c r="H73" s="51"/>
      <c r="I73" s="51"/>
      <c r="J73" s="51" t="s">
        <v>192</v>
      </c>
      <c r="K73" s="51" t="s">
        <v>81</v>
      </c>
      <c r="L73" s="51" t="s">
        <v>81</v>
      </c>
      <c r="M73" s="51" t="s">
        <v>81</v>
      </c>
      <c r="N73" s="51">
        <v>0.0</v>
      </c>
      <c r="O73" s="51">
        <v>0.0</v>
      </c>
      <c r="P73" s="51">
        <v>0.0</v>
      </c>
      <c r="Q73" s="51"/>
      <c r="R73" s="51"/>
    </row>
    <row r="74" ht="18.0" customHeight="1">
      <c r="A74" s="50">
        <v>67.0</v>
      </c>
      <c r="B74" s="51" t="s">
        <v>257</v>
      </c>
      <c r="C74" s="51" t="s">
        <v>72</v>
      </c>
      <c r="D74" s="51" t="s">
        <v>127</v>
      </c>
      <c r="E74" s="51" t="s">
        <v>144</v>
      </c>
      <c r="F74" s="51"/>
      <c r="G74" s="51"/>
      <c r="H74" s="51"/>
      <c r="I74" s="51"/>
      <c r="J74" s="51" t="s">
        <v>192</v>
      </c>
      <c r="K74" s="51" t="s">
        <v>81</v>
      </c>
      <c r="L74" s="51" t="s">
        <v>81</v>
      </c>
      <c r="M74" s="51" t="s">
        <v>81</v>
      </c>
      <c r="N74" s="51">
        <v>0.0</v>
      </c>
      <c r="O74" s="51">
        <v>0.0</v>
      </c>
      <c r="P74" s="51">
        <v>0.0</v>
      </c>
      <c r="Q74" s="51"/>
      <c r="R74" s="51"/>
    </row>
    <row r="75" ht="18.0" customHeight="1">
      <c r="A75" s="50">
        <v>68.0</v>
      </c>
      <c r="B75" s="51" t="s">
        <v>258</v>
      </c>
      <c r="C75" s="51" t="s">
        <v>72</v>
      </c>
      <c r="D75" s="51" t="s">
        <v>127</v>
      </c>
      <c r="E75" s="51" t="s">
        <v>147</v>
      </c>
      <c r="F75" s="50" t="s">
        <v>148</v>
      </c>
      <c r="G75" s="50" t="s">
        <v>80</v>
      </c>
      <c r="H75" s="51"/>
      <c r="I75" s="52">
        <v>46167.0</v>
      </c>
      <c r="J75" s="53" t="s">
        <v>60</v>
      </c>
      <c r="K75" s="51" t="s">
        <v>81</v>
      </c>
      <c r="L75" s="51" t="s">
        <v>81</v>
      </c>
      <c r="M75" s="51" t="s">
        <v>81</v>
      </c>
      <c r="N75" s="51">
        <v>0.0</v>
      </c>
      <c r="O75" s="51">
        <v>0.0</v>
      </c>
      <c r="P75" s="51">
        <v>0.0</v>
      </c>
      <c r="Q75" s="51"/>
      <c r="R75" s="50" t="s">
        <v>115</v>
      </c>
    </row>
    <row r="76" ht="18.0" customHeight="1">
      <c r="A76" s="50">
        <v>69.0</v>
      </c>
      <c r="B76" s="51" t="s">
        <v>259</v>
      </c>
      <c r="C76" s="51" t="s">
        <v>72</v>
      </c>
      <c r="D76" s="51" t="s">
        <v>127</v>
      </c>
      <c r="E76" s="51" t="s">
        <v>150</v>
      </c>
      <c r="F76" s="51"/>
      <c r="G76" s="51"/>
      <c r="H76" s="51"/>
      <c r="I76" s="51"/>
      <c r="J76" s="51" t="s">
        <v>192</v>
      </c>
      <c r="K76" s="51" t="s">
        <v>81</v>
      </c>
      <c r="L76" s="51" t="s">
        <v>81</v>
      </c>
      <c r="M76" s="51" t="s">
        <v>81</v>
      </c>
      <c r="N76" s="51">
        <v>0.0</v>
      </c>
      <c r="O76" s="51">
        <v>0.0</v>
      </c>
      <c r="P76" s="51">
        <v>0.0</v>
      </c>
      <c r="Q76" s="51"/>
      <c r="R76" s="51"/>
    </row>
    <row r="77" ht="18.0" customHeight="1">
      <c r="A77" s="50">
        <v>70.0</v>
      </c>
      <c r="B77" s="51" t="s">
        <v>260</v>
      </c>
      <c r="C77" s="51" t="s">
        <v>72</v>
      </c>
      <c r="D77" s="51" t="s">
        <v>127</v>
      </c>
      <c r="E77" s="51" t="s">
        <v>156</v>
      </c>
      <c r="F77" s="51"/>
      <c r="G77" s="51"/>
      <c r="H77" s="51"/>
      <c r="I77" s="51"/>
      <c r="J77" s="51" t="s">
        <v>192</v>
      </c>
      <c r="K77" s="51" t="s">
        <v>81</v>
      </c>
      <c r="L77" s="51" t="s">
        <v>81</v>
      </c>
      <c r="M77" s="51" t="s">
        <v>81</v>
      </c>
      <c r="N77" s="51">
        <v>0.0</v>
      </c>
      <c r="O77" s="51">
        <v>0.0</v>
      </c>
      <c r="P77" s="51">
        <v>0.0</v>
      </c>
      <c r="Q77" s="51"/>
      <c r="R77" s="51"/>
    </row>
    <row r="78" ht="18.0" customHeight="1">
      <c r="A78" s="50">
        <v>71.0</v>
      </c>
      <c r="B78" s="51" t="s">
        <v>261</v>
      </c>
      <c r="C78" s="51" t="s">
        <v>72</v>
      </c>
      <c r="D78" s="51" t="s">
        <v>127</v>
      </c>
      <c r="E78" s="51" t="s">
        <v>161</v>
      </c>
      <c r="F78" s="50" t="s">
        <v>162</v>
      </c>
      <c r="G78" s="50" t="s">
        <v>163</v>
      </c>
      <c r="H78" s="51"/>
      <c r="I78" s="51"/>
      <c r="J78" s="51" t="s">
        <v>192</v>
      </c>
      <c r="K78" s="51" t="s">
        <v>81</v>
      </c>
      <c r="L78" s="51" t="s">
        <v>81</v>
      </c>
      <c r="M78" s="51" t="s">
        <v>81</v>
      </c>
      <c r="N78" s="51">
        <v>0.0</v>
      </c>
      <c r="O78" s="51">
        <v>0.0</v>
      </c>
      <c r="P78" s="51">
        <v>0.0</v>
      </c>
      <c r="Q78" s="51"/>
      <c r="R78" s="51"/>
    </row>
    <row r="79" ht="18.0" customHeight="1">
      <c r="A79" s="50">
        <v>72.0</v>
      </c>
      <c r="B79" s="51" t="s">
        <v>262</v>
      </c>
      <c r="C79" s="51" t="s">
        <v>72</v>
      </c>
      <c r="D79" s="51" t="s">
        <v>127</v>
      </c>
      <c r="E79" s="51" t="s">
        <v>166</v>
      </c>
      <c r="F79" s="51"/>
      <c r="G79" s="51"/>
      <c r="H79" s="51"/>
      <c r="I79" s="51"/>
      <c r="J79" s="51" t="s">
        <v>192</v>
      </c>
      <c r="K79" s="51" t="s">
        <v>81</v>
      </c>
      <c r="L79" s="51" t="s">
        <v>81</v>
      </c>
      <c r="M79" s="51" t="s">
        <v>81</v>
      </c>
      <c r="N79" s="51">
        <v>0.0</v>
      </c>
      <c r="O79" s="51">
        <v>0.0</v>
      </c>
      <c r="P79" s="51">
        <v>0.0</v>
      </c>
      <c r="Q79" s="51"/>
      <c r="R79" s="51"/>
    </row>
    <row r="80" ht="18.0" customHeight="1">
      <c r="A80" s="50">
        <v>73.0</v>
      </c>
      <c r="B80" s="51" t="s">
        <v>263</v>
      </c>
      <c r="C80" s="51" t="s">
        <v>72</v>
      </c>
      <c r="D80" s="51" t="s">
        <v>127</v>
      </c>
      <c r="E80" s="51" t="s">
        <v>171</v>
      </c>
      <c r="F80" s="66" t="s">
        <v>212</v>
      </c>
      <c r="G80" s="50" t="s">
        <v>99</v>
      </c>
      <c r="H80" s="51"/>
      <c r="I80" s="52">
        <v>46169.0</v>
      </c>
      <c r="J80" s="53" t="s">
        <v>60</v>
      </c>
      <c r="K80" s="50" t="s">
        <v>61</v>
      </c>
      <c r="L80" s="51" t="s">
        <v>81</v>
      </c>
      <c r="M80" s="50" t="s">
        <v>61</v>
      </c>
      <c r="N80" s="51">
        <v>0.0</v>
      </c>
      <c r="O80" s="50">
        <v>26.0</v>
      </c>
      <c r="P80" s="51">
        <v>0.0</v>
      </c>
      <c r="Q80" s="56" t="s">
        <v>264</v>
      </c>
      <c r="R80" s="50" t="s">
        <v>174</v>
      </c>
    </row>
    <row r="81" ht="18.0" customHeight="1">
      <c r="A81" s="50">
        <v>74.0</v>
      </c>
      <c r="B81" s="51" t="s">
        <v>265</v>
      </c>
      <c r="C81" s="51" t="s">
        <v>72</v>
      </c>
      <c r="D81" s="51" t="s">
        <v>127</v>
      </c>
      <c r="E81" s="51" t="s">
        <v>176</v>
      </c>
      <c r="F81" s="51"/>
      <c r="G81" s="51"/>
      <c r="H81" s="51"/>
      <c r="I81" s="51"/>
      <c r="J81" s="51" t="s">
        <v>192</v>
      </c>
      <c r="K81" s="50" t="s">
        <v>266</v>
      </c>
      <c r="L81" s="51" t="s">
        <v>81</v>
      </c>
      <c r="M81" s="50" t="s">
        <v>266</v>
      </c>
      <c r="N81" s="51">
        <v>0.0</v>
      </c>
      <c r="O81" s="51">
        <v>0.0</v>
      </c>
      <c r="P81" s="51">
        <v>0.0</v>
      </c>
      <c r="Q81" s="51"/>
      <c r="R81" s="51"/>
    </row>
    <row r="82" ht="18.0" customHeight="1">
      <c r="A82" s="50">
        <v>75.0</v>
      </c>
      <c r="B82" s="51" t="s">
        <v>267</v>
      </c>
      <c r="C82" s="51" t="s">
        <v>72</v>
      </c>
      <c r="D82" s="51" t="s">
        <v>127</v>
      </c>
      <c r="E82" s="51" t="s">
        <v>179</v>
      </c>
      <c r="F82" s="51"/>
      <c r="G82" s="51"/>
      <c r="H82" s="51"/>
      <c r="I82" s="51"/>
      <c r="J82" s="51" t="s">
        <v>192</v>
      </c>
      <c r="K82" s="51" t="s">
        <v>81</v>
      </c>
      <c r="L82" s="51" t="s">
        <v>81</v>
      </c>
      <c r="M82" s="51" t="s">
        <v>81</v>
      </c>
      <c r="N82" s="51">
        <v>0.0</v>
      </c>
      <c r="O82" s="51">
        <v>0.0</v>
      </c>
      <c r="P82" s="51">
        <v>0.0</v>
      </c>
      <c r="Q82" s="51"/>
      <c r="R82" s="51"/>
    </row>
    <row r="83" ht="18.0" customHeight="1">
      <c r="A83" s="50">
        <v>76.0</v>
      </c>
      <c r="B83" s="51" t="s">
        <v>268</v>
      </c>
      <c r="C83" s="51" t="s">
        <v>72</v>
      </c>
      <c r="D83" s="51" t="s">
        <v>127</v>
      </c>
      <c r="E83" s="51" t="s">
        <v>182</v>
      </c>
      <c r="F83" s="50" t="s">
        <v>269</v>
      </c>
      <c r="G83" s="50" t="s">
        <v>99</v>
      </c>
      <c r="H83" s="50"/>
      <c r="I83" s="52">
        <v>46169.0</v>
      </c>
      <c r="J83" s="53" t="s">
        <v>60</v>
      </c>
      <c r="K83" s="50" t="s">
        <v>61</v>
      </c>
      <c r="L83" s="50" t="s">
        <v>81</v>
      </c>
      <c r="M83" s="50" t="s">
        <v>61</v>
      </c>
      <c r="N83" s="50">
        <v>16.0</v>
      </c>
      <c r="O83" s="50">
        <v>26.0</v>
      </c>
      <c r="P83" s="50">
        <v>3.0</v>
      </c>
      <c r="Q83" s="56" t="s">
        <v>270</v>
      </c>
      <c r="R83" s="50" t="s">
        <v>174</v>
      </c>
    </row>
    <row r="84" ht="18.0" customHeight="1">
      <c r="A84" s="50">
        <v>77.0</v>
      </c>
      <c r="B84" s="51"/>
      <c r="C84" s="50" t="s">
        <v>75</v>
      </c>
      <c r="D84" s="51" t="s">
        <v>127</v>
      </c>
      <c r="E84" s="51" t="s">
        <v>57</v>
      </c>
      <c r="F84" s="51" t="s">
        <v>218</v>
      </c>
      <c r="G84" s="51" t="s">
        <v>219</v>
      </c>
      <c r="H84" s="51"/>
      <c r="I84" s="52">
        <v>46171.0</v>
      </c>
      <c r="J84" s="53" t="s">
        <v>60</v>
      </c>
      <c r="K84" s="50" t="s">
        <v>61</v>
      </c>
      <c r="L84" s="51" t="s">
        <v>81</v>
      </c>
      <c r="M84" s="50" t="s">
        <v>61</v>
      </c>
      <c r="N84" s="51">
        <v>0.0</v>
      </c>
      <c r="O84" s="51">
        <v>0.0</v>
      </c>
      <c r="P84" s="51">
        <v>0.0</v>
      </c>
      <c r="Q84" s="56" t="s">
        <v>271</v>
      </c>
      <c r="R84" s="50" t="s">
        <v>136</v>
      </c>
    </row>
    <row r="85" ht="18.0" customHeight="1">
      <c r="A85" s="50">
        <v>78.0</v>
      </c>
      <c r="B85" s="51"/>
      <c r="C85" s="50" t="s">
        <v>75</v>
      </c>
      <c r="D85" s="51" t="s">
        <v>127</v>
      </c>
      <c r="E85" s="51" t="s">
        <v>132</v>
      </c>
      <c r="F85" s="50" t="s">
        <v>133</v>
      </c>
      <c r="G85" s="50" t="s">
        <v>134</v>
      </c>
      <c r="H85" s="51"/>
      <c r="I85" s="51"/>
      <c r="J85" s="53" t="s">
        <v>60</v>
      </c>
      <c r="K85" s="50" t="s">
        <v>61</v>
      </c>
      <c r="L85" s="51" t="s">
        <v>81</v>
      </c>
      <c r="M85" s="50" t="s">
        <v>61</v>
      </c>
      <c r="N85" s="51">
        <v>0.0</v>
      </c>
      <c r="O85" s="51">
        <v>0.0</v>
      </c>
      <c r="P85" s="51">
        <v>0.0</v>
      </c>
      <c r="Q85" s="56" t="s">
        <v>272</v>
      </c>
      <c r="R85" s="50" t="s">
        <v>136</v>
      </c>
    </row>
    <row r="86" ht="18.0" customHeight="1">
      <c r="A86" s="50">
        <v>79.0</v>
      </c>
      <c r="B86" s="51"/>
      <c r="C86" s="50" t="s">
        <v>75</v>
      </c>
      <c r="D86" s="51" t="s">
        <v>127</v>
      </c>
      <c r="E86" s="51" t="s">
        <v>138</v>
      </c>
      <c r="F86" s="51"/>
      <c r="G86" s="51"/>
      <c r="H86" s="51"/>
      <c r="I86" s="51"/>
      <c r="J86" s="51" t="s">
        <v>192</v>
      </c>
      <c r="K86" s="51" t="s">
        <v>81</v>
      </c>
      <c r="L86" s="51" t="s">
        <v>81</v>
      </c>
      <c r="M86" s="51" t="s">
        <v>81</v>
      </c>
      <c r="N86" s="51">
        <v>0.0</v>
      </c>
      <c r="O86" s="51">
        <v>0.0</v>
      </c>
      <c r="P86" s="51">
        <v>0.0</v>
      </c>
      <c r="Q86" s="51"/>
      <c r="R86" s="51"/>
    </row>
    <row r="87" ht="18.0" customHeight="1">
      <c r="A87" s="50">
        <v>80.0</v>
      </c>
      <c r="B87" s="51"/>
      <c r="C87" s="50" t="s">
        <v>75</v>
      </c>
      <c r="D87" s="51" t="s">
        <v>127</v>
      </c>
      <c r="E87" s="51" t="s">
        <v>140</v>
      </c>
      <c r="F87" s="50" t="s">
        <v>194</v>
      </c>
      <c r="G87" s="50" t="s">
        <v>273</v>
      </c>
      <c r="H87" s="51"/>
      <c r="I87" s="52">
        <v>46169.0</v>
      </c>
      <c r="J87" s="53" t="s">
        <v>60</v>
      </c>
      <c r="K87" s="50" t="s">
        <v>61</v>
      </c>
      <c r="L87" s="51" t="s">
        <v>81</v>
      </c>
      <c r="M87" s="50" t="s">
        <v>61</v>
      </c>
      <c r="N87" s="51">
        <v>0.0</v>
      </c>
      <c r="O87" s="51">
        <v>0.0</v>
      </c>
      <c r="P87" s="51">
        <v>0.0</v>
      </c>
      <c r="Q87" s="56" t="s">
        <v>274</v>
      </c>
      <c r="R87" s="50" t="s">
        <v>136</v>
      </c>
    </row>
    <row r="88" ht="18.0" customHeight="1">
      <c r="A88" s="50">
        <v>81.0</v>
      </c>
      <c r="B88" s="51"/>
      <c r="C88" s="50" t="s">
        <v>75</v>
      </c>
      <c r="D88" s="51" t="s">
        <v>127</v>
      </c>
      <c r="E88" s="51" t="s">
        <v>144</v>
      </c>
      <c r="F88" s="50" t="s">
        <v>198</v>
      </c>
      <c r="G88" s="50" t="s">
        <v>232</v>
      </c>
      <c r="H88" s="51"/>
      <c r="I88" s="52">
        <v>46169.0</v>
      </c>
      <c r="J88" s="53" t="s">
        <v>60</v>
      </c>
      <c r="K88" s="50" t="s">
        <v>61</v>
      </c>
      <c r="L88" s="51" t="s">
        <v>81</v>
      </c>
      <c r="M88" s="50" t="s">
        <v>61</v>
      </c>
      <c r="N88" s="51">
        <v>0.0</v>
      </c>
      <c r="O88" s="51">
        <v>0.0</v>
      </c>
      <c r="P88" s="51">
        <v>0.0</v>
      </c>
      <c r="Q88" s="56" t="s">
        <v>275</v>
      </c>
      <c r="R88" s="50" t="s">
        <v>136</v>
      </c>
    </row>
    <row r="89" ht="18.0" customHeight="1">
      <c r="A89" s="50">
        <v>82.0</v>
      </c>
      <c r="B89" s="50" t="s">
        <v>276</v>
      </c>
      <c r="C89" s="50" t="s">
        <v>75</v>
      </c>
      <c r="D89" s="51" t="s">
        <v>127</v>
      </c>
      <c r="E89" s="51" t="s">
        <v>147</v>
      </c>
      <c r="F89" s="50" t="s">
        <v>148</v>
      </c>
      <c r="G89" s="50" t="s">
        <v>80</v>
      </c>
      <c r="H89" s="51"/>
      <c r="I89" s="52">
        <v>46167.0</v>
      </c>
      <c r="J89" s="53" t="s">
        <v>60</v>
      </c>
      <c r="K89" s="50" t="s">
        <v>61</v>
      </c>
      <c r="L89" s="51" t="s">
        <v>81</v>
      </c>
      <c r="M89" s="50" t="s">
        <v>61</v>
      </c>
      <c r="N89" s="51">
        <v>0.0</v>
      </c>
      <c r="O89" s="51">
        <v>0.0</v>
      </c>
      <c r="P89" s="51">
        <v>0.0</v>
      </c>
      <c r="Q89" s="51"/>
      <c r="R89" s="50" t="s">
        <v>115</v>
      </c>
    </row>
    <row r="90" ht="18.0" customHeight="1">
      <c r="A90" s="50">
        <v>83.0</v>
      </c>
      <c r="B90" s="51"/>
      <c r="C90" s="50" t="s">
        <v>75</v>
      </c>
      <c r="D90" s="51" t="s">
        <v>127</v>
      </c>
      <c r="E90" s="51" t="s">
        <v>150</v>
      </c>
      <c r="F90" s="50" t="s">
        <v>151</v>
      </c>
      <c r="G90" s="50" t="s">
        <v>152</v>
      </c>
      <c r="H90" s="51"/>
      <c r="I90" s="52">
        <v>46170.0</v>
      </c>
      <c r="J90" s="50" t="s">
        <v>60</v>
      </c>
      <c r="K90" s="51" t="s">
        <v>81</v>
      </c>
      <c r="L90" s="51" t="s">
        <v>81</v>
      </c>
      <c r="M90" s="51" t="s">
        <v>81</v>
      </c>
      <c r="N90" s="51">
        <v>0.0</v>
      </c>
      <c r="O90" s="51">
        <v>0.0</v>
      </c>
      <c r="P90" s="51">
        <v>0.0</v>
      </c>
      <c r="Q90" s="56" t="s">
        <v>277</v>
      </c>
      <c r="R90" s="50" t="s">
        <v>154</v>
      </c>
    </row>
    <row r="91" ht="18.0" customHeight="1">
      <c r="A91" s="50">
        <v>84.0</v>
      </c>
      <c r="B91" s="51"/>
      <c r="C91" s="50" t="s">
        <v>75</v>
      </c>
      <c r="D91" s="51" t="s">
        <v>127</v>
      </c>
      <c r="E91" s="51" t="s">
        <v>156</v>
      </c>
      <c r="F91" s="50" t="s">
        <v>278</v>
      </c>
      <c r="G91" s="50" t="s">
        <v>158</v>
      </c>
      <c r="H91" s="51"/>
      <c r="I91" s="52">
        <v>46171.0</v>
      </c>
      <c r="J91" s="50" t="s">
        <v>60</v>
      </c>
      <c r="K91" s="51" t="s">
        <v>81</v>
      </c>
      <c r="L91" s="51" t="s">
        <v>81</v>
      </c>
      <c r="M91" s="51" t="s">
        <v>81</v>
      </c>
      <c r="N91" s="51">
        <v>0.0</v>
      </c>
      <c r="O91" s="51">
        <v>0.0</v>
      </c>
      <c r="P91" s="51">
        <v>0.0</v>
      </c>
      <c r="Q91" s="56" t="s">
        <v>279</v>
      </c>
      <c r="R91" s="50" t="s">
        <v>154</v>
      </c>
    </row>
    <row r="92" ht="18.0" customHeight="1">
      <c r="A92" s="50">
        <v>85.0</v>
      </c>
      <c r="B92" s="51"/>
      <c r="C92" s="50" t="s">
        <v>75</v>
      </c>
      <c r="D92" s="51" t="s">
        <v>127</v>
      </c>
      <c r="E92" s="51" t="s">
        <v>161</v>
      </c>
      <c r="F92" s="50" t="s">
        <v>162</v>
      </c>
      <c r="G92" s="50" t="s">
        <v>163</v>
      </c>
      <c r="H92" s="51"/>
      <c r="I92" s="52">
        <v>46167.0</v>
      </c>
      <c r="J92" s="53" t="s">
        <v>60</v>
      </c>
      <c r="K92" s="50" t="s">
        <v>61</v>
      </c>
      <c r="L92" s="50" t="s">
        <v>61</v>
      </c>
      <c r="M92" s="50" t="s">
        <v>61</v>
      </c>
      <c r="N92" s="51">
        <v>0.0</v>
      </c>
      <c r="O92" s="51">
        <v>0.0</v>
      </c>
      <c r="P92" s="50">
        <v>2.0</v>
      </c>
      <c r="Q92" s="56" t="s">
        <v>280</v>
      </c>
      <c r="R92" s="50" t="s">
        <v>63</v>
      </c>
    </row>
    <row r="93" ht="18.0" customHeight="1">
      <c r="A93" s="50">
        <v>86.0</v>
      </c>
      <c r="B93" s="51"/>
      <c r="C93" s="50" t="s">
        <v>75</v>
      </c>
      <c r="D93" s="51" t="s">
        <v>127</v>
      </c>
      <c r="E93" s="51" t="s">
        <v>166</v>
      </c>
      <c r="F93" s="50" t="s">
        <v>210</v>
      </c>
      <c r="G93" s="50" t="s">
        <v>168</v>
      </c>
      <c r="H93" s="51"/>
      <c r="I93" s="52" t="s">
        <v>281</v>
      </c>
      <c r="J93" s="50" t="s">
        <v>60</v>
      </c>
      <c r="K93" s="51" t="s">
        <v>81</v>
      </c>
      <c r="L93" s="51" t="s">
        <v>81</v>
      </c>
      <c r="M93" s="51" t="s">
        <v>81</v>
      </c>
      <c r="N93" s="51">
        <v>0.0</v>
      </c>
      <c r="O93" s="51">
        <v>0.0</v>
      </c>
      <c r="P93" s="51">
        <v>0.0</v>
      </c>
      <c r="Q93" s="56" t="s">
        <v>282</v>
      </c>
      <c r="R93" s="50" t="s">
        <v>154</v>
      </c>
    </row>
    <row r="94" ht="26.25" customHeight="1">
      <c r="A94" s="50">
        <v>87.0</v>
      </c>
      <c r="B94" s="50" t="s">
        <v>283</v>
      </c>
      <c r="C94" s="50" t="s">
        <v>75</v>
      </c>
      <c r="D94" s="51" t="s">
        <v>127</v>
      </c>
      <c r="E94" s="51" t="s">
        <v>171</v>
      </c>
      <c r="F94" s="50" t="s">
        <v>284</v>
      </c>
      <c r="G94" s="50" t="s">
        <v>99</v>
      </c>
      <c r="H94" s="50" t="s">
        <v>283</v>
      </c>
      <c r="I94" s="52">
        <v>46169.0</v>
      </c>
      <c r="J94" s="53" t="s">
        <v>60</v>
      </c>
      <c r="K94" s="50" t="s">
        <v>61</v>
      </c>
      <c r="L94" s="51" t="s">
        <v>81</v>
      </c>
      <c r="M94" s="50" t="s">
        <v>61</v>
      </c>
      <c r="N94" s="51">
        <v>0.0</v>
      </c>
      <c r="O94" s="51">
        <v>0.0</v>
      </c>
      <c r="P94" s="51">
        <v>0.0</v>
      </c>
      <c r="Q94" s="67" t="s">
        <v>285</v>
      </c>
      <c r="R94" s="50" t="s">
        <v>174</v>
      </c>
      <c r="S94" s="42" t="s">
        <v>283</v>
      </c>
    </row>
    <row r="95" ht="20.25" customHeight="1">
      <c r="A95" s="50">
        <v>88.0</v>
      </c>
      <c r="B95" s="51"/>
      <c r="C95" s="50" t="s">
        <v>75</v>
      </c>
      <c r="D95" s="51" t="s">
        <v>127</v>
      </c>
      <c r="E95" s="51" t="s">
        <v>176</v>
      </c>
      <c r="F95" s="50" t="s">
        <v>133</v>
      </c>
      <c r="G95" s="50" t="s">
        <v>134</v>
      </c>
      <c r="H95" s="51"/>
      <c r="I95" s="52">
        <v>46170.0</v>
      </c>
      <c r="J95" s="53" t="s">
        <v>60</v>
      </c>
      <c r="K95" s="50" t="s">
        <v>61</v>
      </c>
      <c r="L95" s="51" t="s">
        <v>81</v>
      </c>
      <c r="M95" s="50" t="s">
        <v>61</v>
      </c>
      <c r="N95" s="51">
        <v>0.0</v>
      </c>
      <c r="O95" s="51">
        <v>0.0</v>
      </c>
      <c r="P95" s="51">
        <v>0.0</v>
      </c>
      <c r="Q95" s="56" t="s">
        <v>286</v>
      </c>
      <c r="R95" s="50" t="s">
        <v>136</v>
      </c>
    </row>
    <row r="96" ht="18.0" customHeight="1">
      <c r="A96" s="50">
        <v>89.0</v>
      </c>
      <c r="B96" s="51"/>
      <c r="C96" s="50" t="s">
        <v>75</v>
      </c>
      <c r="D96" s="51" t="s">
        <v>127</v>
      </c>
      <c r="E96" s="51" t="s">
        <v>179</v>
      </c>
      <c r="F96" s="51"/>
      <c r="G96" s="51"/>
      <c r="H96" s="51"/>
      <c r="I96" s="51"/>
      <c r="J96" s="51" t="s">
        <v>192</v>
      </c>
      <c r="K96" s="51" t="s">
        <v>81</v>
      </c>
      <c r="L96" s="51" t="s">
        <v>81</v>
      </c>
      <c r="M96" s="51" t="s">
        <v>81</v>
      </c>
      <c r="N96" s="51">
        <v>0.0</v>
      </c>
      <c r="O96" s="51">
        <v>0.0</v>
      </c>
      <c r="P96" s="51">
        <v>0.0</v>
      </c>
      <c r="Q96" s="51"/>
      <c r="R96" s="51"/>
    </row>
    <row r="97" ht="32.25" customHeight="1">
      <c r="A97" s="50">
        <v>90.0</v>
      </c>
      <c r="B97" s="51"/>
      <c r="C97" s="50" t="s">
        <v>75</v>
      </c>
      <c r="D97" s="51" t="s">
        <v>127</v>
      </c>
      <c r="E97" s="51" t="s">
        <v>182</v>
      </c>
      <c r="F97" s="50" t="s">
        <v>287</v>
      </c>
      <c r="G97" s="50" t="s">
        <v>99</v>
      </c>
      <c r="H97" s="50" t="s">
        <v>283</v>
      </c>
      <c r="I97" s="52">
        <v>46170.0</v>
      </c>
      <c r="J97" s="53" t="s">
        <v>60</v>
      </c>
      <c r="K97" s="50" t="s">
        <v>61</v>
      </c>
      <c r="L97" s="51" t="s">
        <v>81</v>
      </c>
      <c r="M97" s="50" t="s">
        <v>61</v>
      </c>
      <c r="N97" s="50">
        <v>3.0</v>
      </c>
      <c r="O97" s="50">
        <v>4.0</v>
      </c>
      <c r="P97" s="50">
        <v>2.0</v>
      </c>
      <c r="Q97" s="67" t="s">
        <v>285</v>
      </c>
      <c r="R97" s="50" t="s">
        <v>174</v>
      </c>
    </row>
    <row r="98" ht="37.5" customHeight="1">
      <c r="A98" s="67">
        <v>91.0</v>
      </c>
      <c r="B98" s="68" t="s">
        <v>288</v>
      </c>
      <c r="C98" s="68" t="s">
        <v>55</v>
      </c>
      <c r="D98" s="68" t="s">
        <v>289</v>
      </c>
      <c r="E98" s="68" t="s">
        <v>57</v>
      </c>
      <c r="F98" s="67" t="s">
        <v>290</v>
      </c>
      <c r="G98" s="67" t="s">
        <v>99</v>
      </c>
      <c r="H98" s="68"/>
      <c r="I98" s="69">
        <v>46170.0</v>
      </c>
      <c r="J98" s="40" t="s">
        <v>60</v>
      </c>
      <c r="K98" s="67" t="s">
        <v>61</v>
      </c>
      <c r="L98" s="68" t="s">
        <v>81</v>
      </c>
      <c r="M98" s="67" t="s">
        <v>61</v>
      </c>
      <c r="N98" s="67">
        <v>11.0</v>
      </c>
      <c r="O98" s="67">
        <v>22.0</v>
      </c>
      <c r="P98" s="67">
        <v>5.0</v>
      </c>
      <c r="Q98" s="70" t="s">
        <v>291</v>
      </c>
      <c r="R98" s="67" t="s">
        <v>174</v>
      </c>
    </row>
    <row r="99" ht="35.25" customHeight="1">
      <c r="A99" s="67">
        <v>92.0</v>
      </c>
      <c r="B99" s="68" t="s">
        <v>292</v>
      </c>
      <c r="C99" s="68" t="s">
        <v>55</v>
      </c>
      <c r="D99" s="68" t="s">
        <v>289</v>
      </c>
      <c r="E99" s="68" t="s">
        <v>57</v>
      </c>
      <c r="F99" s="67" t="s">
        <v>293</v>
      </c>
      <c r="G99" s="67" t="s">
        <v>99</v>
      </c>
      <c r="H99" s="68"/>
      <c r="I99" s="69">
        <v>46170.0</v>
      </c>
      <c r="J99" s="40" t="s">
        <v>60</v>
      </c>
      <c r="K99" s="67" t="s">
        <v>61</v>
      </c>
      <c r="L99" s="68" t="s">
        <v>81</v>
      </c>
      <c r="M99" s="67" t="s">
        <v>61</v>
      </c>
      <c r="N99" s="67">
        <v>12.0</v>
      </c>
      <c r="O99" s="67">
        <v>30.0</v>
      </c>
      <c r="P99" s="67">
        <v>3.0</v>
      </c>
      <c r="Q99" s="70" t="s">
        <v>294</v>
      </c>
      <c r="R99" s="71" t="s">
        <v>174</v>
      </c>
    </row>
    <row r="100" ht="32.25" customHeight="1">
      <c r="A100" s="67">
        <v>93.0</v>
      </c>
      <c r="B100" s="68" t="s">
        <v>295</v>
      </c>
      <c r="C100" s="68" t="s">
        <v>55</v>
      </c>
      <c r="D100" s="68" t="s">
        <v>289</v>
      </c>
      <c r="E100" s="68" t="s">
        <v>57</v>
      </c>
      <c r="F100" s="67" t="s">
        <v>296</v>
      </c>
      <c r="G100" s="67" t="s">
        <v>99</v>
      </c>
      <c r="H100" s="68"/>
      <c r="I100" s="69">
        <v>46170.0</v>
      </c>
      <c r="J100" s="68" t="s">
        <v>192</v>
      </c>
      <c r="K100" s="68" t="s">
        <v>81</v>
      </c>
      <c r="L100" s="68" t="s">
        <v>81</v>
      </c>
      <c r="M100" s="68" t="s">
        <v>81</v>
      </c>
      <c r="N100" s="68">
        <v>0.0</v>
      </c>
      <c r="O100" s="68">
        <v>0.0</v>
      </c>
      <c r="P100" s="68">
        <v>0.0</v>
      </c>
      <c r="Q100" s="68"/>
      <c r="R100" s="67" t="s">
        <v>154</v>
      </c>
    </row>
    <row r="101" ht="32.25" customHeight="1">
      <c r="A101" s="67">
        <v>94.0</v>
      </c>
      <c r="B101" s="68" t="s">
        <v>297</v>
      </c>
      <c r="C101" s="68" t="s">
        <v>55</v>
      </c>
      <c r="D101" s="68" t="s">
        <v>289</v>
      </c>
      <c r="E101" s="68" t="s">
        <v>57</v>
      </c>
      <c r="F101" s="67" t="s">
        <v>298</v>
      </c>
      <c r="G101" s="67" t="s">
        <v>99</v>
      </c>
      <c r="H101" s="68"/>
      <c r="I101" s="69">
        <v>46201.0</v>
      </c>
      <c r="J101" s="40" t="s">
        <v>60</v>
      </c>
      <c r="K101" s="67" t="s">
        <v>61</v>
      </c>
      <c r="L101" s="68" t="s">
        <v>81</v>
      </c>
      <c r="M101" s="67" t="s">
        <v>61</v>
      </c>
      <c r="N101" s="67">
        <v>17.0</v>
      </c>
      <c r="O101" s="67">
        <v>30.0</v>
      </c>
      <c r="P101" s="67">
        <v>2.0</v>
      </c>
      <c r="Q101" s="72" t="s">
        <v>299</v>
      </c>
      <c r="R101" s="67" t="s">
        <v>174</v>
      </c>
    </row>
    <row r="102" ht="25.5" customHeight="1">
      <c r="A102" s="67">
        <v>95.0</v>
      </c>
      <c r="B102" s="68" t="s">
        <v>300</v>
      </c>
      <c r="C102" s="68" t="s">
        <v>55</v>
      </c>
      <c r="D102" s="68" t="s">
        <v>289</v>
      </c>
      <c r="E102" s="68" t="s">
        <v>57</v>
      </c>
      <c r="F102" s="67" t="s">
        <v>301</v>
      </c>
      <c r="G102" s="67" t="s">
        <v>80</v>
      </c>
      <c r="H102" s="68"/>
      <c r="I102" s="69">
        <v>46201.0</v>
      </c>
      <c r="J102" s="53" t="s">
        <v>60</v>
      </c>
      <c r="K102" s="67" t="s">
        <v>61</v>
      </c>
      <c r="L102" s="68" t="s">
        <v>81</v>
      </c>
      <c r="M102" s="67" t="s">
        <v>61</v>
      </c>
      <c r="N102" s="68">
        <v>0.0</v>
      </c>
      <c r="O102" s="68">
        <v>0.0</v>
      </c>
      <c r="P102" s="68">
        <v>0.0</v>
      </c>
      <c r="Q102" s="68"/>
      <c r="R102" s="67" t="s">
        <v>83</v>
      </c>
    </row>
    <row r="103" ht="18.0" customHeight="1">
      <c r="A103" s="67">
        <v>96.0</v>
      </c>
      <c r="B103" s="68" t="s">
        <v>302</v>
      </c>
      <c r="C103" s="68" t="s">
        <v>55</v>
      </c>
      <c r="D103" s="68" t="s">
        <v>289</v>
      </c>
      <c r="E103" s="68" t="s">
        <v>57</v>
      </c>
      <c r="F103" s="68" t="s">
        <v>218</v>
      </c>
      <c r="G103" s="68" t="s">
        <v>219</v>
      </c>
      <c r="H103" s="68"/>
      <c r="I103" s="69">
        <v>46171.0</v>
      </c>
      <c r="J103" s="53" t="s">
        <v>60</v>
      </c>
      <c r="K103" s="67" t="s">
        <v>61</v>
      </c>
      <c r="L103" s="68" t="s">
        <v>81</v>
      </c>
      <c r="M103" s="67" t="s">
        <v>61</v>
      </c>
      <c r="N103" s="68">
        <v>0.0</v>
      </c>
      <c r="O103" s="68">
        <v>0.0</v>
      </c>
      <c r="P103" s="68">
        <v>0.0</v>
      </c>
      <c r="Q103" s="70" t="s">
        <v>303</v>
      </c>
      <c r="R103" s="67" t="s">
        <v>136</v>
      </c>
      <c r="S103" s="73" t="s">
        <v>304</v>
      </c>
    </row>
    <row r="104" ht="18.0" customHeight="1">
      <c r="A104" s="67">
        <v>97.0</v>
      </c>
      <c r="B104" s="68" t="s">
        <v>305</v>
      </c>
      <c r="C104" s="68" t="s">
        <v>55</v>
      </c>
      <c r="D104" s="68" t="s">
        <v>289</v>
      </c>
      <c r="E104" s="68" t="s">
        <v>57</v>
      </c>
      <c r="F104" s="67" t="s">
        <v>306</v>
      </c>
      <c r="G104" s="67" t="s">
        <v>99</v>
      </c>
      <c r="H104" s="68"/>
      <c r="I104" s="69">
        <v>46174.0</v>
      </c>
      <c r="J104" s="53" t="s">
        <v>60</v>
      </c>
      <c r="K104" s="68" t="s">
        <v>81</v>
      </c>
      <c r="L104" s="68" t="s">
        <v>81</v>
      </c>
      <c r="M104" s="68" t="s">
        <v>81</v>
      </c>
      <c r="N104" s="68">
        <v>0.0</v>
      </c>
      <c r="O104" s="68">
        <v>0.0</v>
      </c>
      <c r="P104" s="68">
        <v>0.0</v>
      </c>
      <c r="Q104" s="68"/>
      <c r="R104" s="67"/>
    </row>
    <row r="105" ht="18.0" customHeight="1">
      <c r="A105" s="67">
        <v>98.0</v>
      </c>
      <c r="B105" s="68" t="s">
        <v>307</v>
      </c>
      <c r="C105" s="68" t="s">
        <v>55</v>
      </c>
      <c r="D105" s="68" t="s">
        <v>289</v>
      </c>
      <c r="E105" s="68" t="s">
        <v>57</v>
      </c>
      <c r="F105" s="68"/>
      <c r="G105" s="68"/>
      <c r="H105" s="68"/>
      <c r="I105" s="68"/>
      <c r="J105" s="68" t="s">
        <v>192</v>
      </c>
      <c r="K105" s="68" t="s">
        <v>81</v>
      </c>
      <c r="L105" s="68" t="s">
        <v>81</v>
      </c>
      <c r="M105" s="68" t="s">
        <v>81</v>
      </c>
      <c r="N105" s="68">
        <v>0.0</v>
      </c>
      <c r="O105" s="68">
        <v>0.0</v>
      </c>
      <c r="P105" s="68">
        <v>0.0</v>
      </c>
      <c r="Q105" s="68"/>
      <c r="R105" s="68"/>
    </row>
    <row r="106" ht="18.0" customHeight="1">
      <c r="A106" s="67">
        <v>99.0</v>
      </c>
      <c r="B106" s="68" t="s">
        <v>308</v>
      </c>
      <c r="C106" s="68" t="s">
        <v>55</v>
      </c>
      <c r="D106" s="68" t="s">
        <v>289</v>
      </c>
      <c r="E106" s="68" t="s">
        <v>57</v>
      </c>
      <c r="F106" s="68" t="s">
        <v>309</v>
      </c>
      <c r="G106" s="67" t="s">
        <v>310</v>
      </c>
      <c r="H106" s="68"/>
      <c r="I106" s="74">
        <v>46170.0</v>
      </c>
      <c r="J106" s="40" t="s">
        <v>60</v>
      </c>
      <c r="K106" s="67" t="s">
        <v>311</v>
      </c>
      <c r="L106" s="68" t="s">
        <v>81</v>
      </c>
      <c r="M106" s="67" t="s">
        <v>311</v>
      </c>
      <c r="N106" s="68">
        <v>0.0</v>
      </c>
      <c r="O106" s="68">
        <v>0.0</v>
      </c>
      <c r="P106" s="67">
        <v>1.0</v>
      </c>
      <c r="Q106" s="75" t="s">
        <v>312</v>
      </c>
      <c r="R106" s="67" t="s">
        <v>63</v>
      </c>
    </row>
    <row r="107" ht="18.0" customHeight="1">
      <c r="A107" s="67">
        <v>100.0</v>
      </c>
      <c r="B107" s="68" t="s">
        <v>313</v>
      </c>
      <c r="C107" s="68" t="s">
        <v>55</v>
      </c>
      <c r="D107" s="68" t="s">
        <v>289</v>
      </c>
      <c r="E107" s="68" t="s">
        <v>57</v>
      </c>
      <c r="F107" s="67" t="s">
        <v>314</v>
      </c>
      <c r="G107" s="67" t="s">
        <v>99</v>
      </c>
      <c r="H107" s="68"/>
      <c r="I107" s="69">
        <v>46171.0</v>
      </c>
      <c r="J107" s="40" t="s">
        <v>60</v>
      </c>
      <c r="K107" s="67" t="s">
        <v>61</v>
      </c>
      <c r="L107" s="68" t="s">
        <v>81</v>
      </c>
      <c r="M107" s="67" t="s">
        <v>61</v>
      </c>
      <c r="N107" s="67">
        <v>3.0</v>
      </c>
      <c r="O107" s="67">
        <v>17.0</v>
      </c>
      <c r="P107" s="67">
        <v>3.0</v>
      </c>
      <c r="Q107" s="70" t="s">
        <v>315</v>
      </c>
      <c r="R107" s="67" t="s">
        <v>174</v>
      </c>
    </row>
    <row r="108" ht="18.0" customHeight="1">
      <c r="A108" s="67">
        <v>101.0</v>
      </c>
      <c r="B108" s="68" t="s">
        <v>316</v>
      </c>
      <c r="C108" s="68" t="s">
        <v>55</v>
      </c>
      <c r="D108" s="68" t="s">
        <v>289</v>
      </c>
      <c r="E108" s="68" t="s">
        <v>57</v>
      </c>
      <c r="F108" s="67" t="s">
        <v>317</v>
      </c>
      <c r="G108" s="67" t="s">
        <v>99</v>
      </c>
      <c r="H108" s="68"/>
      <c r="I108" s="67" t="s">
        <v>99</v>
      </c>
      <c r="J108" s="40" t="s">
        <v>60</v>
      </c>
      <c r="K108" s="67" t="s">
        <v>61</v>
      </c>
      <c r="L108" s="68" t="s">
        <v>81</v>
      </c>
      <c r="M108" s="67" t="s">
        <v>61</v>
      </c>
      <c r="N108" s="67">
        <v>5.0</v>
      </c>
      <c r="O108" s="67">
        <v>17.0</v>
      </c>
      <c r="P108" s="67">
        <v>3.0</v>
      </c>
      <c r="Q108" s="70" t="s">
        <v>318</v>
      </c>
      <c r="R108" s="67" t="s">
        <v>174</v>
      </c>
    </row>
    <row r="109" ht="18.0" customHeight="1">
      <c r="A109" s="67">
        <v>102.0</v>
      </c>
      <c r="B109" s="68" t="s">
        <v>319</v>
      </c>
      <c r="C109" s="68" t="s">
        <v>55</v>
      </c>
      <c r="D109" s="68" t="s">
        <v>289</v>
      </c>
      <c r="E109" s="68" t="s">
        <v>57</v>
      </c>
      <c r="F109" s="68"/>
      <c r="G109" s="68"/>
      <c r="H109" s="68"/>
      <c r="I109" s="68"/>
      <c r="J109" s="68" t="s">
        <v>192</v>
      </c>
      <c r="K109" s="68" t="s">
        <v>81</v>
      </c>
      <c r="L109" s="68" t="s">
        <v>81</v>
      </c>
      <c r="M109" s="68" t="s">
        <v>81</v>
      </c>
      <c r="N109" s="68">
        <v>0.0</v>
      </c>
      <c r="O109" s="68">
        <v>0.0</v>
      </c>
      <c r="P109" s="68">
        <v>0.0</v>
      </c>
      <c r="Q109" s="68"/>
      <c r="R109" s="68"/>
    </row>
    <row r="110" ht="18.0" customHeight="1">
      <c r="A110" s="67">
        <v>103.0</v>
      </c>
      <c r="B110" s="68" t="s">
        <v>320</v>
      </c>
      <c r="C110" s="68" t="s">
        <v>55</v>
      </c>
      <c r="D110" s="68" t="s">
        <v>289</v>
      </c>
      <c r="E110" s="68" t="s">
        <v>57</v>
      </c>
      <c r="F110" s="68"/>
      <c r="G110" s="68"/>
      <c r="H110" s="68"/>
      <c r="I110" s="68"/>
      <c r="J110" s="68" t="s">
        <v>192</v>
      </c>
      <c r="K110" s="68" t="s">
        <v>81</v>
      </c>
      <c r="L110" s="68" t="s">
        <v>81</v>
      </c>
      <c r="M110" s="68" t="s">
        <v>81</v>
      </c>
      <c r="N110" s="68">
        <v>0.0</v>
      </c>
      <c r="O110" s="68">
        <v>0.0</v>
      </c>
      <c r="P110" s="68">
        <v>0.0</v>
      </c>
      <c r="Q110" s="68"/>
      <c r="R110" s="68"/>
    </row>
    <row r="111" ht="18.0" customHeight="1">
      <c r="A111" s="67">
        <v>104.0</v>
      </c>
      <c r="B111" s="68" t="s">
        <v>321</v>
      </c>
      <c r="C111" s="68" t="s">
        <v>55</v>
      </c>
      <c r="D111" s="68" t="s">
        <v>289</v>
      </c>
      <c r="E111" s="68" t="s">
        <v>57</v>
      </c>
      <c r="F111" s="67" t="s">
        <v>322</v>
      </c>
      <c r="G111" s="67" t="s">
        <v>323</v>
      </c>
      <c r="H111" s="68"/>
      <c r="I111" s="69">
        <v>46171.0</v>
      </c>
      <c r="J111" s="67" t="s">
        <v>60</v>
      </c>
      <c r="K111" s="68" t="s">
        <v>81</v>
      </c>
      <c r="L111" s="68" t="s">
        <v>81</v>
      </c>
      <c r="M111" s="68" t="s">
        <v>81</v>
      </c>
      <c r="N111" s="68">
        <v>0.0</v>
      </c>
      <c r="O111" s="68">
        <v>0.0</v>
      </c>
      <c r="P111" s="68">
        <v>0.0</v>
      </c>
      <c r="Q111" s="68"/>
      <c r="R111" s="67" t="s">
        <v>154</v>
      </c>
    </row>
    <row r="112" ht="18.0" customHeight="1">
      <c r="A112" s="67">
        <v>105.0</v>
      </c>
      <c r="B112" s="68" t="s">
        <v>324</v>
      </c>
      <c r="C112" s="68" t="s">
        <v>55</v>
      </c>
      <c r="D112" s="68" t="s">
        <v>289</v>
      </c>
      <c r="E112" s="68" t="s">
        <v>57</v>
      </c>
      <c r="F112" s="68"/>
      <c r="G112" s="68"/>
      <c r="H112" s="68"/>
      <c r="I112" s="68"/>
      <c r="J112" s="68" t="s">
        <v>192</v>
      </c>
      <c r="K112" s="68" t="s">
        <v>81</v>
      </c>
      <c r="L112" s="68" t="s">
        <v>81</v>
      </c>
      <c r="M112" s="68" t="s">
        <v>81</v>
      </c>
      <c r="N112" s="68">
        <v>0.0</v>
      </c>
      <c r="O112" s="68">
        <v>0.0</v>
      </c>
      <c r="P112" s="68">
        <v>0.0</v>
      </c>
      <c r="Q112" s="68"/>
      <c r="R112" s="68"/>
    </row>
    <row r="113" ht="18.0" customHeight="1">
      <c r="A113" s="67">
        <v>106.0</v>
      </c>
      <c r="B113" s="68" t="s">
        <v>325</v>
      </c>
      <c r="C113" s="68" t="s">
        <v>55</v>
      </c>
      <c r="D113" s="68" t="s">
        <v>289</v>
      </c>
      <c r="E113" s="68" t="s">
        <v>57</v>
      </c>
      <c r="F113" s="68"/>
      <c r="G113" s="68"/>
      <c r="H113" s="68"/>
      <c r="I113" s="68"/>
      <c r="J113" s="68" t="s">
        <v>192</v>
      </c>
      <c r="K113" s="68" t="s">
        <v>81</v>
      </c>
      <c r="L113" s="68" t="s">
        <v>81</v>
      </c>
      <c r="M113" s="68" t="s">
        <v>81</v>
      </c>
      <c r="N113" s="68">
        <v>0.0</v>
      </c>
      <c r="O113" s="68">
        <v>0.0</v>
      </c>
      <c r="P113" s="68">
        <v>0.0</v>
      </c>
      <c r="Q113" s="68"/>
      <c r="R113" s="68"/>
    </row>
    <row r="114" ht="18.0" customHeight="1">
      <c r="A114" s="67">
        <v>107.0</v>
      </c>
      <c r="B114" s="68" t="s">
        <v>326</v>
      </c>
      <c r="C114" s="68" t="s">
        <v>55</v>
      </c>
      <c r="D114" s="68" t="s">
        <v>289</v>
      </c>
      <c r="E114" s="68" t="s">
        <v>57</v>
      </c>
      <c r="F114" s="68"/>
      <c r="G114" s="68"/>
      <c r="H114" s="68"/>
      <c r="I114" s="68"/>
      <c r="J114" s="68" t="s">
        <v>192</v>
      </c>
      <c r="K114" s="68" t="s">
        <v>81</v>
      </c>
      <c r="L114" s="68" t="s">
        <v>81</v>
      </c>
      <c r="M114" s="68" t="s">
        <v>81</v>
      </c>
      <c r="N114" s="68">
        <v>0.0</v>
      </c>
      <c r="O114" s="68">
        <v>0.0</v>
      </c>
      <c r="P114" s="68">
        <v>0.0</v>
      </c>
      <c r="Q114" s="68"/>
      <c r="R114" s="68"/>
    </row>
    <row r="115" ht="18.0" customHeight="1">
      <c r="A115" s="67">
        <v>108.0</v>
      </c>
      <c r="B115" s="68" t="s">
        <v>327</v>
      </c>
      <c r="C115" s="68" t="s">
        <v>55</v>
      </c>
      <c r="D115" s="68" t="s">
        <v>289</v>
      </c>
      <c r="E115" s="68" t="s">
        <v>57</v>
      </c>
      <c r="F115" s="68"/>
      <c r="G115" s="68"/>
      <c r="H115" s="68"/>
      <c r="I115" s="68"/>
      <c r="J115" s="68" t="s">
        <v>192</v>
      </c>
      <c r="K115" s="68" t="s">
        <v>81</v>
      </c>
      <c r="L115" s="68" t="s">
        <v>81</v>
      </c>
      <c r="M115" s="68" t="s">
        <v>81</v>
      </c>
      <c r="N115" s="68">
        <v>0.0</v>
      </c>
      <c r="O115" s="68">
        <v>0.0</v>
      </c>
      <c r="P115" s="68">
        <v>0.0</v>
      </c>
      <c r="Q115" s="68"/>
      <c r="R115" s="68"/>
    </row>
    <row r="116" ht="18.0" customHeight="1">
      <c r="A116" s="67">
        <v>109.0</v>
      </c>
      <c r="B116" s="68" t="s">
        <v>328</v>
      </c>
      <c r="C116" s="68" t="s">
        <v>55</v>
      </c>
      <c r="D116" s="68" t="s">
        <v>289</v>
      </c>
      <c r="E116" s="68" t="s">
        <v>57</v>
      </c>
      <c r="F116" s="68"/>
      <c r="G116" s="68"/>
      <c r="H116" s="68"/>
      <c r="I116" s="68"/>
      <c r="J116" s="68" t="s">
        <v>192</v>
      </c>
      <c r="K116" s="68" t="s">
        <v>81</v>
      </c>
      <c r="L116" s="68" t="s">
        <v>81</v>
      </c>
      <c r="M116" s="68" t="s">
        <v>81</v>
      </c>
      <c r="N116" s="68">
        <v>0.0</v>
      </c>
      <c r="O116" s="68">
        <v>0.0</v>
      </c>
      <c r="P116" s="68">
        <v>0.0</v>
      </c>
      <c r="Q116" s="68"/>
      <c r="R116" s="68"/>
    </row>
    <row r="117" ht="18.0" customHeight="1">
      <c r="A117" s="67">
        <v>110.0</v>
      </c>
      <c r="B117" s="68" t="s">
        <v>329</v>
      </c>
      <c r="C117" s="68" t="s">
        <v>55</v>
      </c>
      <c r="D117" s="68" t="s">
        <v>289</v>
      </c>
      <c r="E117" s="68" t="s">
        <v>57</v>
      </c>
      <c r="F117" s="67" t="s">
        <v>330</v>
      </c>
      <c r="G117" s="67" t="s">
        <v>331</v>
      </c>
      <c r="H117" s="68"/>
      <c r="I117" s="74">
        <v>46171.0</v>
      </c>
      <c r="J117" s="40" t="s">
        <v>60</v>
      </c>
      <c r="K117" s="67" t="s">
        <v>311</v>
      </c>
      <c r="L117" s="68" t="s">
        <v>81</v>
      </c>
      <c r="M117" s="67" t="s">
        <v>61</v>
      </c>
      <c r="N117" s="68">
        <v>0.0</v>
      </c>
      <c r="O117" s="68">
        <v>0.0</v>
      </c>
      <c r="P117" s="67">
        <v>1.0</v>
      </c>
      <c r="Q117" s="70" t="s">
        <v>332</v>
      </c>
      <c r="R117" s="67" t="s">
        <v>63</v>
      </c>
    </row>
    <row r="118" ht="30.0" customHeight="1">
      <c r="A118" s="67">
        <v>111.0</v>
      </c>
      <c r="B118" s="68" t="s">
        <v>333</v>
      </c>
      <c r="C118" s="68" t="s">
        <v>65</v>
      </c>
      <c r="D118" s="68" t="s">
        <v>289</v>
      </c>
      <c r="E118" s="68" t="s">
        <v>57</v>
      </c>
      <c r="F118" s="67" t="s">
        <v>334</v>
      </c>
      <c r="G118" s="67" t="s">
        <v>99</v>
      </c>
      <c r="H118" s="68"/>
      <c r="I118" s="69">
        <v>46170.0</v>
      </c>
      <c r="J118" s="53" t="s">
        <v>60</v>
      </c>
      <c r="K118" s="67" t="s">
        <v>61</v>
      </c>
      <c r="L118" s="68" t="s">
        <v>81</v>
      </c>
      <c r="M118" s="67" t="s">
        <v>61</v>
      </c>
      <c r="N118" s="67">
        <v>0.0</v>
      </c>
      <c r="O118" s="67">
        <v>17.0</v>
      </c>
      <c r="P118" s="67">
        <v>5.0</v>
      </c>
      <c r="Q118" s="70" t="s">
        <v>335</v>
      </c>
      <c r="R118" s="67" t="s">
        <v>174</v>
      </c>
    </row>
    <row r="119" ht="32.25" customHeight="1">
      <c r="A119" s="67">
        <v>112.0</v>
      </c>
      <c r="B119" s="68" t="s">
        <v>336</v>
      </c>
      <c r="C119" s="68" t="s">
        <v>65</v>
      </c>
      <c r="D119" s="68" t="s">
        <v>289</v>
      </c>
      <c r="E119" s="68" t="s">
        <v>57</v>
      </c>
      <c r="F119" s="67" t="s">
        <v>337</v>
      </c>
      <c r="G119" s="67" t="s">
        <v>99</v>
      </c>
      <c r="H119" s="68"/>
      <c r="I119" s="69">
        <v>46170.0</v>
      </c>
      <c r="J119" s="53" t="s">
        <v>60</v>
      </c>
      <c r="K119" s="67" t="s">
        <v>61</v>
      </c>
      <c r="L119" s="68" t="s">
        <v>81</v>
      </c>
      <c r="M119" s="67" t="s">
        <v>61</v>
      </c>
      <c r="N119" s="67">
        <v>9.0</v>
      </c>
      <c r="O119" s="67">
        <v>14.0</v>
      </c>
      <c r="P119" s="67">
        <v>3.0</v>
      </c>
      <c r="Q119" s="70" t="s">
        <v>338</v>
      </c>
      <c r="R119" s="67" t="s">
        <v>174</v>
      </c>
    </row>
    <row r="120" ht="30.75" customHeight="1">
      <c r="A120" s="67">
        <v>113.0</v>
      </c>
      <c r="B120" s="68" t="s">
        <v>339</v>
      </c>
      <c r="C120" s="68" t="s">
        <v>65</v>
      </c>
      <c r="D120" s="68" t="s">
        <v>289</v>
      </c>
      <c r="E120" s="68" t="s">
        <v>57</v>
      </c>
      <c r="F120" s="67" t="s">
        <v>340</v>
      </c>
      <c r="G120" s="67" t="s">
        <v>99</v>
      </c>
      <c r="H120" s="68"/>
      <c r="I120" s="69">
        <v>46170.0</v>
      </c>
      <c r="J120" s="53" t="s">
        <v>60</v>
      </c>
      <c r="K120" s="67" t="s">
        <v>61</v>
      </c>
      <c r="L120" s="68" t="s">
        <v>81</v>
      </c>
      <c r="M120" s="67" t="s">
        <v>61</v>
      </c>
      <c r="N120" s="67">
        <v>10.0</v>
      </c>
      <c r="O120" s="67">
        <v>24.0</v>
      </c>
      <c r="P120" s="67">
        <v>3.0</v>
      </c>
      <c r="Q120" s="70" t="s">
        <v>341</v>
      </c>
      <c r="R120" s="67" t="s">
        <v>174</v>
      </c>
    </row>
    <row r="121" ht="18.0" customHeight="1">
      <c r="A121" s="67">
        <v>114.0</v>
      </c>
      <c r="B121" s="68" t="s">
        <v>342</v>
      </c>
      <c r="C121" s="68" t="s">
        <v>65</v>
      </c>
      <c r="D121" s="68" t="s">
        <v>289</v>
      </c>
      <c r="E121" s="68" t="s">
        <v>57</v>
      </c>
      <c r="F121" s="68" t="s">
        <v>343</v>
      </c>
      <c r="G121" s="68" t="s">
        <v>344</v>
      </c>
      <c r="H121" s="68"/>
      <c r="I121" s="68"/>
      <c r="J121" s="53" t="s">
        <v>60</v>
      </c>
      <c r="K121" s="67" t="s">
        <v>61</v>
      </c>
      <c r="L121" s="68" t="s">
        <v>81</v>
      </c>
      <c r="M121" s="67" t="s">
        <v>61</v>
      </c>
      <c r="N121" s="68">
        <v>0.0</v>
      </c>
      <c r="O121" s="68">
        <v>0.0</v>
      </c>
      <c r="P121" s="68">
        <v>0.0</v>
      </c>
      <c r="Q121" s="70" t="s">
        <v>345</v>
      </c>
      <c r="R121" s="67" t="s">
        <v>136</v>
      </c>
    </row>
    <row r="122">
      <c r="A122" s="67">
        <v>115.0</v>
      </c>
      <c r="B122" s="68" t="s">
        <v>346</v>
      </c>
      <c r="C122" s="68" t="s">
        <v>65</v>
      </c>
      <c r="D122" s="68" t="s">
        <v>289</v>
      </c>
      <c r="E122" s="68" t="s">
        <v>57</v>
      </c>
      <c r="F122" s="67" t="s">
        <v>301</v>
      </c>
      <c r="G122" s="67" t="s">
        <v>80</v>
      </c>
      <c r="H122" s="68"/>
      <c r="I122" s="68"/>
      <c r="J122" s="53" t="s">
        <v>60</v>
      </c>
      <c r="K122" s="67" t="s">
        <v>61</v>
      </c>
      <c r="L122" s="68" t="s">
        <v>81</v>
      </c>
      <c r="M122" s="67" t="s">
        <v>61</v>
      </c>
      <c r="N122" s="68">
        <v>0.0</v>
      </c>
      <c r="O122" s="68">
        <v>0.0</v>
      </c>
      <c r="P122" s="68">
        <v>0.0</v>
      </c>
      <c r="Q122" s="68"/>
      <c r="R122" s="67" t="s">
        <v>83</v>
      </c>
    </row>
    <row r="123" ht="18.0" customHeight="1">
      <c r="A123" s="67">
        <v>116.0</v>
      </c>
      <c r="B123" s="68" t="s">
        <v>347</v>
      </c>
      <c r="C123" s="68" t="s">
        <v>65</v>
      </c>
      <c r="D123" s="68" t="s">
        <v>289</v>
      </c>
      <c r="E123" s="68" t="s">
        <v>57</v>
      </c>
      <c r="F123" s="68"/>
      <c r="G123" s="68"/>
      <c r="H123" s="68"/>
      <c r="I123" s="68"/>
      <c r="J123" s="68" t="s">
        <v>192</v>
      </c>
      <c r="K123" s="68" t="s">
        <v>81</v>
      </c>
      <c r="L123" s="68" t="s">
        <v>81</v>
      </c>
      <c r="M123" s="68" t="s">
        <v>81</v>
      </c>
      <c r="N123" s="68">
        <v>0.0</v>
      </c>
      <c r="O123" s="68">
        <v>0.0</v>
      </c>
      <c r="P123" s="68">
        <v>0.0</v>
      </c>
      <c r="Q123" s="68"/>
      <c r="R123" s="68"/>
    </row>
    <row r="124" ht="18.0" customHeight="1">
      <c r="A124" s="67">
        <v>117.0</v>
      </c>
      <c r="B124" s="68" t="s">
        <v>348</v>
      </c>
      <c r="C124" s="68" t="s">
        <v>65</v>
      </c>
      <c r="D124" s="68" t="s">
        <v>289</v>
      </c>
      <c r="E124" s="68" t="s">
        <v>57</v>
      </c>
      <c r="F124" s="67" t="s">
        <v>314</v>
      </c>
      <c r="G124" s="67" t="s">
        <v>99</v>
      </c>
      <c r="H124" s="68"/>
      <c r="I124" s="69">
        <v>46171.0</v>
      </c>
      <c r="J124" s="40" t="s">
        <v>60</v>
      </c>
      <c r="K124" s="67" t="s">
        <v>61</v>
      </c>
      <c r="L124" s="68" t="s">
        <v>81</v>
      </c>
      <c r="M124" s="67" t="s">
        <v>61</v>
      </c>
      <c r="N124" s="67">
        <v>5.0</v>
      </c>
      <c r="O124" s="67">
        <v>16.0</v>
      </c>
      <c r="P124" s="67">
        <v>3.0</v>
      </c>
      <c r="Q124" s="70" t="s">
        <v>349</v>
      </c>
      <c r="R124" s="67" t="s">
        <v>174</v>
      </c>
    </row>
    <row r="125" ht="29.25" customHeight="1">
      <c r="A125" s="67">
        <v>118.0</v>
      </c>
      <c r="B125" s="68" t="s">
        <v>350</v>
      </c>
      <c r="C125" s="68" t="s">
        <v>65</v>
      </c>
      <c r="D125" s="68" t="s">
        <v>289</v>
      </c>
      <c r="E125" s="68" t="s">
        <v>57</v>
      </c>
      <c r="F125" s="67" t="s">
        <v>317</v>
      </c>
      <c r="G125" s="67" t="s">
        <v>99</v>
      </c>
      <c r="H125" s="68"/>
      <c r="I125" s="69">
        <v>46171.0</v>
      </c>
      <c r="J125" s="40" t="s">
        <v>60</v>
      </c>
      <c r="K125" s="67" t="s">
        <v>61</v>
      </c>
      <c r="L125" s="68" t="s">
        <v>81</v>
      </c>
      <c r="M125" s="67" t="s">
        <v>61</v>
      </c>
      <c r="N125" s="67">
        <v>10.0</v>
      </c>
      <c r="O125" s="67">
        <v>23.0</v>
      </c>
      <c r="P125" s="67">
        <v>3.0</v>
      </c>
      <c r="Q125" s="70" t="s">
        <v>351</v>
      </c>
      <c r="R125" s="67" t="s">
        <v>174</v>
      </c>
    </row>
    <row r="126" ht="18.0" customHeight="1">
      <c r="A126" s="67">
        <v>119.0</v>
      </c>
      <c r="B126" s="68" t="s">
        <v>352</v>
      </c>
      <c r="C126" s="68" t="s">
        <v>65</v>
      </c>
      <c r="D126" s="68" t="s">
        <v>289</v>
      </c>
      <c r="E126" s="68" t="s">
        <v>57</v>
      </c>
      <c r="F126" s="67" t="s">
        <v>309</v>
      </c>
      <c r="G126" s="67" t="s">
        <v>353</v>
      </c>
      <c r="H126" s="68"/>
      <c r="I126" s="74">
        <v>46170.0</v>
      </c>
      <c r="J126" s="40" t="s">
        <v>60</v>
      </c>
      <c r="K126" s="67" t="s">
        <v>311</v>
      </c>
      <c r="L126" s="68" t="s">
        <v>81</v>
      </c>
      <c r="M126" s="67" t="s">
        <v>311</v>
      </c>
      <c r="N126" s="68">
        <v>0.0</v>
      </c>
      <c r="O126" s="68">
        <v>0.0</v>
      </c>
      <c r="P126" s="67">
        <v>1.0</v>
      </c>
      <c r="Q126" s="70" t="s">
        <v>354</v>
      </c>
      <c r="R126" s="67" t="s">
        <v>63</v>
      </c>
    </row>
    <row r="127" ht="18.0" customHeight="1">
      <c r="A127" s="67">
        <v>120.0</v>
      </c>
      <c r="B127" s="68" t="s">
        <v>355</v>
      </c>
      <c r="C127" s="68" t="s">
        <v>65</v>
      </c>
      <c r="D127" s="68" t="s">
        <v>289</v>
      </c>
      <c r="E127" s="68" t="s">
        <v>57</v>
      </c>
      <c r="F127" s="68"/>
      <c r="G127" s="68"/>
      <c r="H127" s="68"/>
      <c r="I127" s="68"/>
      <c r="J127" s="68" t="s">
        <v>192</v>
      </c>
      <c r="K127" s="68" t="s">
        <v>81</v>
      </c>
      <c r="L127" s="68" t="s">
        <v>81</v>
      </c>
      <c r="M127" s="68" t="s">
        <v>81</v>
      </c>
      <c r="N127" s="68">
        <v>0.0</v>
      </c>
      <c r="O127" s="68">
        <v>0.0</v>
      </c>
      <c r="P127" s="68">
        <v>0.0</v>
      </c>
      <c r="Q127" s="68"/>
      <c r="R127" s="68"/>
    </row>
    <row r="128" ht="18.0" customHeight="1">
      <c r="A128" s="67">
        <v>121.0</v>
      </c>
      <c r="B128" s="68" t="s">
        <v>356</v>
      </c>
      <c r="C128" s="68" t="s">
        <v>65</v>
      </c>
      <c r="D128" s="68" t="s">
        <v>289</v>
      </c>
      <c r="E128" s="68" t="s">
        <v>57</v>
      </c>
      <c r="F128" s="68"/>
      <c r="G128" s="68"/>
      <c r="H128" s="68"/>
      <c r="I128" s="68"/>
      <c r="J128" s="68" t="s">
        <v>192</v>
      </c>
      <c r="K128" s="68" t="s">
        <v>81</v>
      </c>
      <c r="L128" s="68" t="s">
        <v>81</v>
      </c>
      <c r="M128" s="68" t="s">
        <v>81</v>
      </c>
      <c r="N128" s="68">
        <v>0.0</v>
      </c>
      <c r="O128" s="68">
        <v>0.0</v>
      </c>
      <c r="P128" s="68">
        <v>0.0</v>
      </c>
      <c r="Q128" s="68"/>
      <c r="R128" s="68"/>
    </row>
    <row r="129" ht="18.0" customHeight="1">
      <c r="A129" s="67">
        <v>122.0</v>
      </c>
      <c r="B129" s="68" t="s">
        <v>357</v>
      </c>
      <c r="C129" s="68" t="s">
        <v>65</v>
      </c>
      <c r="D129" s="68" t="s">
        <v>289</v>
      </c>
      <c r="E129" s="68" t="s">
        <v>57</v>
      </c>
      <c r="F129" s="68"/>
      <c r="G129" s="68"/>
      <c r="H129" s="68"/>
      <c r="I129" s="68"/>
      <c r="J129" s="68" t="s">
        <v>192</v>
      </c>
      <c r="K129" s="68" t="s">
        <v>81</v>
      </c>
      <c r="L129" s="68" t="s">
        <v>81</v>
      </c>
      <c r="M129" s="68" t="s">
        <v>81</v>
      </c>
      <c r="N129" s="68">
        <v>0.0</v>
      </c>
      <c r="O129" s="68">
        <v>0.0</v>
      </c>
      <c r="P129" s="68">
        <v>0.0</v>
      </c>
      <c r="Q129" s="68"/>
      <c r="R129" s="68"/>
    </row>
    <row r="130" ht="18.0" customHeight="1">
      <c r="A130" s="67">
        <v>123.0</v>
      </c>
      <c r="B130" s="68" t="s">
        <v>358</v>
      </c>
      <c r="C130" s="68" t="s">
        <v>65</v>
      </c>
      <c r="D130" s="68" t="s">
        <v>289</v>
      </c>
      <c r="E130" s="68" t="s">
        <v>57</v>
      </c>
      <c r="F130" s="68"/>
      <c r="G130" s="68"/>
      <c r="H130" s="68"/>
      <c r="I130" s="68"/>
      <c r="J130" s="68" t="s">
        <v>192</v>
      </c>
      <c r="K130" s="68" t="s">
        <v>81</v>
      </c>
      <c r="L130" s="68" t="s">
        <v>81</v>
      </c>
      <c r="M130" s="68" t="s">
        <v>81</v>
      </c>
      <c r="N130" s="68">
        <v>0.0</v>
      </c>
      <c r="O130" s="68">
        <v>0.0</v>
      </c>
      <c r="P130" s="68">
        <v>0.0</v>
      </c>
      <c r="Q130" s="68"/>
      <c r="R130" s="68"/>
    </row>
    <row r="131" ht="18.0" customHeight="1">
      <c r="A131" s="67">
        <v>124.0</v>
      </c>
      <c r="B131" s="68" t="s">
        <v>359</v>
      </c>
      <c r="C131" s="68" t="s">
        <v>65</v>
      </c>
      <c r="D131" s="68" t="s">
        <v>289</v>
      </c>
      <c r="E131" s="68" t="s">
        <v>57</v>
      </c>
      <c r="F131" s="67" t="s">
        <v>322</v>
      </c>
      <c r="G131" s="67" t="s">
        <v>360</v>
      </c>
      <c r="H131" s="68"/>
      <c r="I131" s="69">
        <v>46171.0</v>
      </c>
      <c r="J131" s="68" t="s">
        <v>192</v>
      </c>
      <c r="K131" s="68" t="s">
        <v>81</v>
      </c>
      <c r="L131" s="68" t="s">
        <v>81</v>
      </c>
      <c r="M131" s="68" t="s">
        <v>81</v>
      </c>
      <c r="N131" s="68">
        <v>0.0</v>
      </c>
      <c r="O131" s="68">
        <v>0.0</v>
      </c>
      <c r="P131" s="68">
        <v>0.0</v>
      </c>
      <c r="Q131" s="68"/>
      <c r="R131" s="67" t="s">
        <v>154</v>
      </c>
    </row>
    <row r="132" ht="18.0" customHeight="1">
      <c r="A132" s="67">
        <v>125.0</v>
      </c>
      <c r="B132" s="68" t="s">
        <v>361</v>
      </c>
      <c r="C132" s="68" t="s">
        <v>65</v>
      </c>
      <c r="D132" s="68" t="s">
        <v>289</v>
      </c>
      <c r="E132" s="68" t="s">
        <v>57</v>
      </c>
      <c r="F132" s="68"/>
      <c r="G132" s="68"/>
      <c r="H132" s="68"/>
      <c r="I132" s="68"/>
      <c r="J132" s="68" t="s">
        <v>192</v>
      </c>
      <c r="K132" s="68" t="s">
        <v>81</v>
      </c>
      <c r="L132" s="68" t="s">
        <v>81</v>
      </c>
      <c r="M132" s="68" t="s">
        <v>81</v>
      </c>
      <c r="N132" s="68">
        <v>0.0</v>
      </c>
      <c r="O132" s="68">
        <v>0.0</v>
      </c>
      <c r="P132" s="68">
        <v>0.0</v>
      </c>
      <c r="Q132" s="68"/>
      <c r="R132" s="68"/>
    </row>
    <row r="133" ht="18.0" customHeight="1">
      <c r="A133" s="67">
        <v>126.0</v>
      </c>
      <c r="B133" s="68" t="s">
        <v>362</v>
      </c>
      <c r="C133" s="68" t="s">
        <v>65</v>
      </c>
      <c r="D133" s="68" t="s">
        <v>289</v>
      </c>
      <c r="E133" s="68" t="s">
        <v>57</v>
      </c>
      <c r="F133" s="68"/>
      <c r="G133" s="68"/>
      <c r="H133" s="68"/>
      <c r="I133" s="68"/>
      <c r="J133" s="68" t="s">
        <v>192</v>
      </c>
      <c r="K133" s="68" t="s">
        <v>81</v>
      </c>
      <c r="L133" s="68" t="s">
        <v>81</v>
      </c>
      <c r="M133" s="68" t="s">
        <v>81</v>
      </c>
      <c r="N133" s="68">
        <v>0.0</v>
      </c>
      <c r="O133" s="68">
        <v>0.0</v>
      </c>
      <c r="P133" s="68">
        <v>0.0</v>
      </c>
      <c r="Q133" s="68"/>
      <c r="R133" s="68"/>
    </row>
    <row r="134" ht="18.0" customHeight="1">
      <c r="A134" s="67">
        <v>127.0</v>
      </c>
      <c r="B134" s="68" t="s">
        <v>363</v>
      </c>
      <c r="C134" s="68" t="s">
        <v>65</v>
      </c>
      <c r="D134" s="68" t="s">
        <v>289</v>
      </c>
      <c r="E134" s="68" t="s">
        <v>57</v>
      </c>
      <c r="F134" s="68"/>
      <c r="G134" s="68"/>
      <c r="H134" s="68"/>
      <c r="I134" s="68"/>
      <c r="J134" s="68" t="s">
        <v>192</v>
      </c>
      <c r="K134" s="68" t="s">
        <v>81</v>
      </c>
      <c r="L134" s="68" t="s">
        <v>81</v>
      </c>
      <c r="M134" s="68" t="s">
        <v>81</v>
      </c>
      <c r="N134" s="68">
        <v>0.0</v>
      </c>
      <c r="O134" s="68">
        <v>0.0</v>
      </c>
      <c r="P134" s="68">
        <v>0.0</v>
      </c>
      <c r="Q134" s="68"/>
      <c r="R134" s="68"/>
    </row>
    <row r="135" ht="18.0" customHeight="1">
      <c r="A135" s="67">
        <v>128.0</v>
      </c>
      <c r="B135" s="68" t="s">
        <v>364</v>
      </c>
      <c r="C135" s="68" t="s">
        <v>65</v>
      </c>
      <c r="D135" s="68" t="s">
        <v>289</v>
      </c>
      <c r="E135" s="68" t="s">
        <v>57</v>
      </c>
      <c r="F135" s="68"/>
      <c r="G135" s="68"/>
      <c r="H135" s="68"/>
      <c r="I135" s="68"/>
      <c r="J135" s="68" t="s">
        <v>192</v>
      </c>
      <c r="K135" s="68" t="s">
        <v>81</v>
      </c>
      <c r="L135" s="68" t="s">
        <v>81</v>
      </c>
      <c r="M135" s="68" t="s">
        <v>81</v>
      </c>
      <c r="N135" s="68">
        <v>0.0</v>
      </c>
      <c r="O135" s="68">
        <v>0.0</v>
      </c>
      <c r="P135" s="68">
        <v>0.0</v>
      </c>
      <c r="Q135" s="68"/>
      <c r="R135" s="68"/>
    </row>
    <row r="136" ht="18.0" customHeight="1">
      <c r="A136" s="67">
        <v>129.0</v>
      </c>
      <c r="B136" s="68" t="s">
        <v>365</v>
      </c>
      <c r="C136" s="68" t="s">
        <v>65</v>
      </c>
      <c r="D136" s="68" t="s">
        <v>289</v>
      </c>
      <c r="E136" s="68" t="s">
        <v>57</v>
      </c>
      <c r="F136" s="68"/>
      <c r="G136" s="68"/>
      <c r="H136" s="68"/>
      <c r="I136" s="68"/>
      <c r="J136" s="68" t="s">
        <v>192</v>
      </c>
      <c r="K136" s="68" t="s">
        <v>81</v>
      </c>
      <c r="L136" s="68" t="s">
        <v>81</v>
      </c>
      <c r="M136" s="68" t="s">
        <v>81</v>
      </c>
      <c r="N136" s="68">
        <v>0.0</v>
      </c>
      <c r="O136" s="68">
        <v>0.0</v>
      </c>
      <c r="P136" s="68">
        <v>0.0</v>
      </c>
      <c r="Q136" s="68"/>
      <c r="R136" s="68"/>
    </row>
    <row r="137" ht="18.0" customHeight="1">
      <c r="A137" s="67">
        <v>130.0</v>
      </c>
      <c r="B137" s="68" t="s">
        <v>366</v>
      </c>
      <c r="C137" s="68" t="s">
        <v>65</v>
      </c>
      <c r="D137" s="68" t="s">
        <v>289</v>
      </c>
      <c r="E137" s="68" t="s">
        <v>57</v>
      </c>
      <c r="F137" s="67" t="s">
        <v>330</v>
      </c>
      <c r="G137" s="67" t="s">
        <v>331</v>
      </c>
      <c r="H137" s="68"/>
      <c r="I137" s="74">
        <v>46171.0</v>
      </c>
      <c r="J137" s="68" t="s">
        <v>192</v>
      </c>
      <c r="K137" s="68" t="s">
        <v>81</v>
      </c>
      <c r="L137" s="68" t="s">
        <v>81</v>
      </c>
      <c r="M137" s="68" t="s">
        <v>81</v>
      </c>
      <c r="N137" s="68">
        <v>0.0</v>
      </c>
      <c r="O137" s="68">
        <v>0.0</v>
      </c>
      <c r="P137" s="68">
        <v>0.0</v>
      </c>
      <c r="Q137" s="75" t="s">
        <v>367</v>
      </c>
      <c r="R137" s="67" t="s">
        <v>63</v>
      </c>
    </row>
    <row r="138" ht="34.5" customHeight="1">
      <c r="A138" s="67">
        <v>131.0</v>
      </c>
      <c r="B138" s="76" t="s">
        <v>368</v>
      </c>
      <c r="C138" s="76" t="s">
        <v>69</v>
      </c>
      <c r="D138" s="76" t="s">
        <v>289</v>
      </c>
      <c r="E138" s="76" t="s">
        <v>57</v>
      </c>
      <c r="F138" s="67" t="s">
        <v>290</v>
      </c>
      <c r="G138" s="67" t="s">
        <v>99</v>
      </c>
      <c r="H138" s="68"/>
      <c r="I138" s="77">
        <v>46170.0</v>
      </c>
      <c r="J138" s="53" t="s">
        <v>60</v>
      </c>
      <c r="K138" s="67" t="s">
        <v>61</v>
      </c>
      <c r="L138" s="68" t="s">
        <v>81</v>
      </c>
      <c r="M138" s="67" t="s">
        <v>61</v>
      </c>
      <c r="N138" s="76">
        <v>0.0</v>
      </c>
      <c r="O138" s="71">
        <v>10.0</v>
      </c>
      <c r="P138" s="71">
        <v>7.0</v>
      </c>
      <c r="Q138" s="78" t="s">
        <v>369</v>
      </c>
      <c r="R138" s="71" t="s">
        <v>174</v>
      </c>
      <c r="S138" s="79"/>
      <c r="T138" s="79"/>
      <c r="U138" s="79"/>
      <c r="V138" s="79"/>
      <c r="W138" s="79"/>
      <c r="X138" s="79"/>
      <c r="Y138" s="79"/>
      <c r="Z138" s="79"/>
    </row>
    <row r="139" ht="24.75" customHeight="1">
      <c r="A139" s="67">
        <v>132.0</v>
      </c>
      <c r="B139" s="68" t="s">
        <v>370</v>
      </c>
      <c r="C139" s="68" t="s">
        <v>69</v>
      </c>
      <c r="D139" s="68" t="s">
        <v>289</v>
      </c>
      <c r="E139" s="68" t="s">
        <v>57</v>
      </c>
      <c r="F139" s="67" t="s">
        <v>371</v>
      </c>
      <c r="G139" s="67" t="s">
        <v>99</v>
      </c>
      <c r="H139" s="68"/>
      <c r="I139" s="77">
        <v>46170.0</v>
      </c>
      <c r="J139" s="53" t="s">
        <v>60</v>
      </c>
      <c r="K139" s="67" t="s">
        <v>61</v>
      </c>
      <c r="L139" s="68" t="s">
        <v>81</v>
      </c>
      <c r="M139" s="67" t="s">
        <v>61</v>
      </c>
      <c r="N139" s="68">
        <v>0.0</v>
      </c>
      <c r="O139" s="67">
        <v>6.0</v>
      </c>
      <c r="P139" s="67">
        <v>5.0</v>
      </c>
      <c r="Q139" s="70" t="s">
        <v>372</v>
      </c>
      <c r="R139" s="71" t="s">
        <v>174</v>
      </c>
    </row>
    <row r="140" ht="24.0" customHeight="1">
      <c r="A140" s="67">
        <v>133.0</v>
      </c>
      <c r="B140" s="68" t="s">
        <v>373</v>
      </c>
      <c r="C140" s="68" t="s">
        <v>69</v>
      </c>
      <c r="D140" s="68" t="s">
        <v>289</v>
      </c>
      <c r="E140" s="68" t="s">
        <v>57</v>
      </c>
      <c r="F140" s="67" t="s">
        <v>374</v>
      </c>
      <c r="G140" s="67" t="s">
        <v>99</v>
      </c>
      <c r="H140" s="68"/>
      <c r="I140" s="77">
        <v>46170.0</v>
      </c>
      <c r="J140" s="53" t="s">
        <v>60</v>
      </c>
      <c r="K140" s="67" t="s">
        <v>61</v>
      </c>
      <c r="L140" s="68" t="s">
        <v>81</v>
      </c>
      <c r="M140" s="67" t="s">
        <v>61</v>
      </c>
      <c r="N140" s="67">
        <v>9.0</v>
      </c>
      <c r="O140" s="67">
        <v>21.0</v>
      </c>
      <c r="P140" s="67">
        <v>6.0</v>
      </c>
      <c r="Q140" s="70" t="s">
        <v>375</v>
      </c>
      <c r="R140" s="71" t="s">
        <v>174</v>
      </c>
    </row>
    <row r="141" ht="18.0" customHeight="1">
      <c r="A141" s="67">
        <v>134.0</v>
      </c>
      <c r="B141" s="68" t="s">
        <v>376</v>
      </c>
      <c r="C141" s="68" t="s">
        <v>69</v>
      </c>
      <c r="D141" s="68" t="s">
        <v>289</v>
      </c>
      <c r="E141" s="68" t="s">
        <v>57</v>
      </c>
      <c r="F141" s="68" t="s">
        <v>141</v>
      </c>
      <c r="G141" s="67" t="s">
        <v>99</v>
      </c>
      <c r="H141" s="68"/>
      <c r="I141" s="69">
        <v>46171.0</v>
      </c>
      <c r="J141" s="53" t="s">
        <v>60</v>
      </c>
      <c r="K141" s="67" t="s">
        <v>61</v>
      </c>
      <c r="L141" s="68" t="s">
        <v>81</v>
      </c>
      <c r="M141" s="67" t="s">
        <v>61</v>
      </c>
      <c r="N141" s="68">
        <v>0.0</v>
      </c>
      <c r="O141" s="68">
        <v>0.0</v>
      </c>
      <c r="P141" s="68">
        <v>0.0</v>
      </c>
      <c r="Q141" s="80" t="s">
        <v>377</v>
      </c>
      <c r="R141" s="67" t="s">
        <v>136</v>
      </c>
    </row>
    <row r="142">
      <c r="A142" s="67">
        <v>135.0</v>
      </c>
      <c r="B142" s="68" t="s">
        <v>378</v>
      </c>
      <c r="C142" s="68" t="s">
        <v>69</v>
      </c>
      <c r="D142" s="68" t="s">
        <v>289</v>
      </c>
      <c r="E142" s="68" t="s">
        <v>57</v>
      </c>
      <c r="F142" s="67" t="s">
        <v>301</v>
      </c>
      <c r="G142" s="67" t="s">
        <v>80</v>
      </c>
      <c r="H142" s="68"/>
      <c r="I142" s="68"/>
      <c r="J142" s="53" t="s">
        <v>60</v>
      </c>
      <c r="K142" s="67" t="s">
        <v>61</v>
      </c>
      <c r="L142" s="68" t="s">
        <v>81</v>
      </c>
      <c r="M142" s="67" t="s">
        <v>61</v>
      </c>
      <c r="N142" s="68">
        <v>0.0</v>
      </c>
      <c r="O142" s="68">
        <v>0.0</v>
      </c>
      <c r="P142" s="68">
        <v>0.0</v>
      </c>
      <c r="Q142" s="68"/>
      <c r="R142" s="67" t="s">
        <v>83</v>
      </c>
    </row>
    <row r="143" ht="18.0" customHeight="1">
      <c r="A143" s="67">
        <v>136.0</v>
      </c>
      <c r="B143" s="68" t="s">
        <v>379</v>
      </c>
      <c r="C143" s="68" t="s">
        <v>69</v>
      </c>
      <c r="D143" s="68" t="s">
        <v>289</v>
      </c>
      <c r="E143" s="68" t="s">
        <v>57</v>
      </c>
      <c r="F143" s="67" t="s">
        <v>314</v>
      </c>
      <c r="G143" s="67" t="s">
        <v>99</v>
      </c>
      <c r="H143" s="68"/>
      <c r="I143" s="69">
        <v>46171.0</v>
      </c>
      <c r="J143" s="53" t="s">
        <v>60</v>
      </c>
      <c r="K143" s="67" t="s">
        <v>61</v>
      </c>
      <c r="L143" s="68" t="s">
        <v>81</v>
      </c>
      <c r="M143" s="67" t="s">
        <v>61</v>
      </c>
      <c r="N143" s="67">
        <v>0.0</v>
      </c>
      <c r="O143" s="67">
        <v>8.0</v>
      </c>
      <c r="P143" s="68">
        <v>0.0</v>
      </c>
      <c r="Q143" s="70" t="s">
        <v>380</v>
      </c>
      <c r="R143" s="71" t="s">
        <v>174</v>
      </c>
    </row>
    <row r="144" ht="18.0" customHeight="1">
      <c r="A144" s="67">
        <v>137.0</v>
      </c>
      <c r="B144" s="68" t="s">
        <v>381</v>
      </c>
      <c r="C144" s="68" t="s">
        <v>69</v>
      </c>
      <c r="D144" s="68" t="s">
        <v>289</v>
      </c>
      <c r="E144" s="68" t="s">
        <v>57</v>
      </c>
      <c r="F144" s="67" t="s">
        <v>284</v>
      </c>
      <c r="G144" s="67" t="s">
        <v>99</v>
      </c>
      <c r="H144" s="68"/>
      <c r="I144" s="69">
        <v>46170.0</v>
      </c>
      <c r="J144" s="68" t="s">
        <v>192</v>
      </c>
      <c r="K144" s="68" t="s">
        <v>81</v>
      </c>
      <c r="L144" s="68" t="s">
        <v>81</v>
      </c>
      <c r="M144" s="68" t="s">
        <v>81</v>
      </c>
      <c r="N144" s="68">
        <v>0.0</v>
      </c>
      <c r="O144" s="68">
        <v>0.0</v>
      </c>
      <c r="P144" s="68">
        <v>0.0</v>
      </c>
      <c r="Q144" s="68"/>
      <c r="R144" s="67" t="s">
        <v>154</v>
      </c>
      <c r="S144" s="42" t="s">
        <v>382</v>
      </c>
    </row>
    <row r="145" ht="18.0" customHeight="1">
      <c r="A145" s="67">
        <v>138.0</v>
      </c>
      <c r="B145" s="68" t="s">
        <v>383</v>
      </c>
      <c r="C145" s="68" t="s">
        <v>69</v>
      </c>
      <c r="D145" s="68" t="s">
        <v>289</v>
      </c>
      <c r="E145" s="68" t="s">
        <v>57</v>
      </c>
      <c r="F145" s="68"/>
      <c r="G145" s="68"/>
      <c r="H145" s="68"/>
      <c r="I145" s="68"/>
      <c r="J145" s="68" t="s">
        <v>192</v>
      </c>
      <c r="K145" s="68" t="s">
        <v>81</v>
      </c>
      <c r="L145" s="68" t="s">
        <v>81</v>
      </c>
      <c r="M145" s="68" t="s">
        <v>81</v>
      </c>
      <c r="N145" s="68">
        <v>0.0</v>
      </c>
      <c r="O145" s="68">
        <v>0.0</v>
      </c>
      <c r="P145" s="68">
        <v>0.0</v>
      </c>
      <c r="Q145" s="68"/>
      <c r="R145" s="68"/>
    </row>
    <row r="146" ht="18.0" customHeight="1">
      <c r="A146" s="67">
        <v>139.0</v>
      </c>
      <c r="B146" s="68" t="s">
        <v>384</v>
      </c>
      <c r="C146" s="68" t="s">
        <v>69</v>
      </c>
      <c r="D146" s="68" t="s">
        <v>289</v>
      </c>
      <c r="E146" s="68" t="s">
        <v>57</v>
      </c>
      <c r="F146" s="68" t="s">
        <v>309</v>
      </c>
      <c r="G146" s="67" t="s">
        <v>310</v>
      </c>
      <c r="H146" s="68"/>
      <c r="I146" s="74">
        <v>46170.0</v>
      </c>
      <c r="J146" s="40" t="s">
        <v>60</v>
      </c>
      <c r="K146" s="67" t="s">
        <v>311</v>
      </c>
      <c r="L146" s="68" t="s">
        <v>81</v>
      </c>
      <c r="M146" s="67" t="s">
        <v>311</v>
      </c>
      <c r="N146" s="68">
        <v>0.0</v>
      </c>
      <c r="O146" s="68">
        <v>0.0</v>
      </c>
      <c r="P146" s="67">
        <v>1.0</v>
      </c>
      <c r="Q146" s="72" t="s">
        <v>385</v>
      </c>
      <c r="R146" s="67" t="s">
        <v>63</v>
      </c>
    </row>
    <row r="147" ht="18.0" customHeight="1">
      <c r="A147" s="67">
        <v>140.0</v>
      </c>
      <c r="B147" s="68" t="s">
        <v>386</v>
      </c>
      <c r="C147" s="68" t="s">
        <v>69</v>
      </c>
      <c r="D147" s="68" t="s">
        <v>289</v>
      </c>
      <c r="E147" s="68" t="s">
        <v>57</v>
      </c>
      <c r="F147" s="68"/>
      <c r="G147" s="68"/>
      <c r="H147" s="68"/>
      <c r="I147" s="68"/>
      <c r="J147" s="68" t="s">
        <v>192</v>
      </c>
      <c r="K147" s="68" t="s">
        <v>81</v>
      </c>
      <c r="L147" s="68" t="s">
        <v>81</v>
      </c>
      <c r="M147" s="68" t="s">
        <v>81</v>
      </c>
      <c r="N147" s="68">
        <v>0.0</v>
      </c>
      <c r="O147" s="68">
        <v>0.0</v>
      </c>
      <c r="P147" s="68">
        <v>0.0</v>
      </c>
      <c r="Q147" s="68"/>
      <c r="R147" s="68"/>
    </row>
    <row r="148" ht="18.0" customHeight="1">
      <c r="A148" s="67">
        <v>141.0</v>
      </c>
      <c r="B148" s="68" t="s">
        <v>387</v>
      </c>
      <c r="C148" s="68" t="s">
        <v>69</v>
      </c>
      <c r="D148" s="68" t="s">
        <v>289</v>
      </c>
      <c r="E148" s="68" t="s">
        <v>57</v>
      </c>
      <c r="F148" s="68"/>
      <c r="G148" s="68"/>
      <c r="H148" s="68"/>
      <c r="I148" s="68"/>
      <c r="J148" s="68" t="s">
        <v>192</v>
      </c>
      <c r="K148" s="68" t="s">
        <v>81</v>
      </c>
      <c r="L148" s="68" t="s">
        <v>81</v>
      </c>
      <c r="M148" s="68" t="s">
        <v>81</v>
      </c>
      <c r="N148" s="68">
        <v>0.0</v>
      </c>
      <c r="O148" s="68">
        <v>0.0</v>
      </c>
      <c r="P148" s="68">
        <v>0.0</v>
      </c>
      <c r="Q148" s="68"/>
      <c r="R148" s="68"/>
    </row>
    <row r="149" ht="18.0" customHeight="1">
      <c r="A149" s="67">
        <v>142.0</v>
      </c>
      <c r="B149" s="68" t="s">
        <v>388</v>
      </c>
      <c r="C149" s="68" t="s">
        <v>69</v>
      </c>
      <c r="D149" s="68" t="s">
        <v>289</v>
      </c>
      <c r="E149" s="68" t="s">
        <v>57</v>
      </c>
      <c r="F149" s="68"/>
      <c r="G149" s="68"/>
      <c r="H149" s="68"/>
      <c r="I149" s="68"/>
      <c r="J149" s="68" t="s">
        <v>192</v>
      </c>
      <c r="K149" s="68" t="s">
        <v>81</v>
      </c>
      <c r="L149" s="68" t="s">
        <v>81</v>
      </c>
      <c r="M149" s="68" t="s">
        <v>81</v>
      </c>
      <c r="N149" s="68">
        <v>0.0</v>
      </c>
      <c r="O149" s="68">
        <v>0.0</v>
      </c>
      <c r="P149" s="68">
        <v>0.0</v>
      </c>
      <c r="Q149" s="68"/>
      <c r="R149" s="68"/>
    </row>
    <row r="150" ht="18.0" customHeight="1">
      <c r="A150" s="67">
        <v>143.0</v>
      </c>
      <c r="B150" s="68" t="s">
        <v>389</v>
      </c>
      <c r="C150" s="68" t="s">
        <v>69</v>
      </c>
      <c r="D150" s="68" t="s">
        <v>289</v>
      </c>
      <c r="E150" s="68" t="s">
        <v>57</v>
      </c>
      <c r="F150" s="68"/>
      <c r="G150" s="68"/>
      <c r="H150" s="68"/>
      <c r="I150" s="68"/>
      <c r="J150" s="68" t="s">
        <v>192</v>
      </c>
      <c r="K150" s="68" t="s">
        <v>81</v>
      </c>
      <c r="L150" s="68" t="s">
        <v>81</v>
      </c>
      <c r="M150" s="68" t="s">
        <v>81</v>
      </c>
      <c r="N150" s="68">
        <v>0.0</v>
      </c>
      <c r="O150" s="68">
        <v>0.0</v>
      </c>
      <c r="P150" s="68">
        <v>0.0</v>
      </c>
      <c r="Q150" s="68"/>
      <c r="R150" s="68"/>
    </row>
    <row r="151" ht="18.0" customHeight="1">
      <c r="A151" s="67">
        <v>144.0</v>
      </c>
      <c r="B151" s="68" t="s">
        <v>390</v>
      </c>
      <c r="C151" s="68" t="s">
        <v>69</v>
      </c>
      <c r="D151" s="68" t="s">
        <v>289</v>
      </c>
      <c r="E151" s="68" t="s">
        <v>57</v>
      </c>
      <c r="F151" s="67" t="s">
        <v>322</v>
      </c>
      <c r="G151" s="67" t="s">
        <v>323</v>
      </c>
      <c r="H151" s="68"/>
      <c r="I151" s="69">
        <v>46171.0</v>
      </c>
      <c r="J151" s="68" t="s">
        <v>192</v>
      </c>
      <c r="K151" s="68" t="s">
        <v>81</v>
      </c>
      <c r="L151" s="68" t="s">
        <v>81</v>
      </c>
      <c r="M151" s="68" t="s">
        <v>81</v>
      </c>
      <c r="N151" s="68">
        <v>0.0</v>
      </c>
      <c r="O151" s="68">
        <v>0.0</v>
      </c>
      <c r="P151" s="68">
        <v>0.0</v>
      </c>
      <c r="Q151" s="68"/>
      <c r="R151" s="67" t="s">
        <v>154</v>
      </c>
    </row>
    <row r="152" ht="18.0" customHeight="1">
      <c r="A152" s="67">
        <v>145.0</v>
      </c>
      <c r="B152" s="68" t="s">
        <v>391</v>
      </c>
      <c r="C152" s="68" t="s">
        <v>69</v>
      </c>
      <c r="D152" s="68" t="s">
        <v>289</v>
      </c>
      <c r="E152" s="68" t="s">
        <v>57</v>
      </c>
      <c r="F152" s="68"/>
      <c r="G152" s="68"/>
      <c r="H152" s="68"/>
      <c r="I152" s="68"/>
      <c r="J152" s="68" t="s">
        <v>192</v>
      </c>
      <c r="K152" s="68" t="s">
        <v>81</v>
      </c>
      <c r="L152" s="68" t="s">
        <v>81</v>
      </c>
      <c r="M152" s="68" t="s">
        <v>81</v>
      </c>
      <c r="N152" s="68">
        <v>0.0</v>
      </c>
      <c r="O152" s="68">
        <v>0.0</v>
      </c>
      <c r="P152" s="68">
        <v>0.0</v>
      </c>
      <c r="Q152" s="68"/>
      <c r="R152" s="68"/>
    </row>
    <row r="153" ht="18.0" customHeight="1">
      <c r="A153" s="67">
        <v>146.0</v>
      </c>
      <c r="B153" s="68" t="s">
        <v>392</v>
      </c>
      <c r="C153" s="68" t="s">
        <v>69</v>
      </c>
      <c r="D153" s="68" t="s">
        <v>289</v>
      </c>
      <c r="E153" s="68" t="s">
        <v>57</v>
      </c>
      <c r="F153" s="68"/>
      <c r="G153" s="68"/>
      <c r="H153" s="68"/>
      <c r="I153" s="68"/>
      <c r="J153" s="68" t="s">
        <v>192</v>
      </c>
      <c r="K153" s="68" t="s">
        <v>81</v>
      </c>
      <c r="L153" s="68" t="s">
        <v>81</v>
      </c>
      <c r="M153" s="68" t="s">
        <v>81</v>
      </c>
      <c r="N153" s="68">
        <v>0.0</v>
      </c>
      <c r="O153" s="68">
        <v>0.0</v>
      </c>
      <c r="P153" s="68">
        <v>0.0</v>
      </c>
      <c r="Q153" s="68"/>
      <c r="R153" s="68"/>
    </row>
    <row r="154" ht="18.0" customHeight="1">
      <c r="A154" s="67">
        <v>147.0</v>
      </c>
      <c r="B154" s="68" t="s">
        <v>393</v>
      </c>
      <c r="C154" s="68" t="s">
        <v>69</v>
      </c>
      <c r="D154" s="68" t="s">
        <v>289</v>
      </c>
      <c r="E154" s="68" t="s">
        <v>57</v>
      </c>
      <c r="F154" s="68"/>
      <c r="G154" s="68"/>
      <c r="H154" s="68"/>
      <c r="I154" s="68"/>
      <c r="J154" s="68" t="s">
        <v>192</v>
      </c>
      <c r="K154" s="68" t="s">
        <v>81</v>
      </c>
      <c r="L154" s="68" t="s">
        <v>81</v>
      </c>
      <c r="M154" s="68" t="s">
        <v>81</v>
      </c>
      <c r="N154" s="68">
        <v>0.0</v>
      </c>
      <c r="O154" s="68">
        <v>0.0</v>
      </c>
      <c r="P154" s="68">
        <v>0.0</v>
      </c>
      <c r="Q154" s="68"/>
      <c r="R154" s="68"/>
    </row>
    <row r="155" ht="18.0" customHeight="1">
      <c r="A155" s="67">
        <v>148.0</v>
      </c>
      <c r="B155" s="68" t="s">
        <v>394</v>
      </c>
      <c r="C155" s="68" t="s">
        <v>69</v>
      </c>
      <c r="D155" s="68" t="s">
        <v>289</v>
      </c>
      <c r="E155" s="68" t="s">
        <v>57</v>
      </c>
      <c r="F155" s="68"/>
      <c r="G155" s="68"/>
      <c r="H155" s="68"/>
      <c r="I155" s="68"/>
      <c r="J155" s="68" t="s">
        <v>192</v>
      </c>
      <c r="K155" s="68" t="s">
        <v>81</v>
      </c>
      <c r="L155" s="68" t="s">
        <v>81</v>
      </c>
      <c r="M155" s="68" t="s">
        <v>81</v>
      </c>
      <c r="N155" s="68">
        <v>0.0</v>
      </c>
      <c r="O155" s="68">
        <v>0.0</v>
      </c>
      <c r="P155" s="68">
        <v>0.0</v>
      </c>
      <c r="Q155" s="68"/>
      <c r="R155" s="68"/>
    </row>
    <row r="156" ht="18.0" customHeight="1">
      <c r="A156" s="67">
        <v>149.0</v>
      </c>
      <c r="B156" s="68" t="s">
        <v>395</v>
      </c>
      <c r="C156" s="68" t="s">
        <v>69</v>
      </c>
      <c r="D156" s="68" t="s">
        <v>289</v>
      </c>
      <c r="E156" s="68" t="s">
        <v>57</v>
      </c>
      <c r="F156" s="68"/>
      <c r="G156" s="68"/>
      <c r="H156" s="68"/>
      <c r="I156" s="68"/>
      <c r="J156" s="68" t="s">
        <v>192</v>
      </c>
      <c r="K156" s="68" t="s">
        <v>81</v>
      </c>
      <c r="L156" s="68" t="s">
        <v>81</v>
      </c>
      <c r="M156" s="68" t="s">
        <v>81</v>
      </c>
      <c r="N156" s="68">
        <v>0.0</v>
      </c>
      <c r="O156" s="68">
        <v>0.0</v>
      </c>
      <c r="P156" s="68">
        <v>0.0</v>
      </c>
      <c r="Q156" s="68"/>
      <c r="R156" s="68"/>
    </row>
    <row r="157" ht="18.0" customHeight="1">
      <c r="A157" s="67">
        <v>150.0</v>
      </c>
      <c r="B157" s="68" t="s">
        <v>396</v>
      </c>
      <c r="C157" s="68" t="s">
        <v>69</v>
      </c>
      <c r="D157" s="68" t="s">
        <v>289</v>
      </c>
      <c r="E157" s="68" t="s">
        <v>57</v>
      </c>
      <c r="F157" s="67" t="s">
        <v>330</v>
      </c>
      <c r="G157" s="67" t="s">
        <v>331</v>
      </c>
      <c r="H157" s="68"/>
      <c r="I157" s="68"/>
      <c r="J157" s="40" t="s">
        <v>60</v>
      </c>
      <c r="K157" s="67" t="s">
        <v>311</v>
      </c>
      <c r="L157" s="68" t="s">
        <v>81</v>
      </c>
      <c r="M157" s="67" t="s">
        <v>311</v>
      </c>
      <c r="N157" s="68">
        <v>0.0</v>
      </c>
      <c r="O157" s="68">
        <v>0.0</v>
      </c>
      <c r="P157" s="67">
        <v>1.0</v>
      </c>
      <c r="Q157" s="70" t="s">
        <v>397</v>
      </c>
      <c r="R157" s="67" t="s">
        <v>63</v>
      </c>
    </row>
    <row r="158" ht="35.25" customHeight="1">
      <c r="A158" s="67">
        <v>151.0</v>
      </c>
      <c r="B158" s="68" t="s">
        <v>398</v>
      </c>
      <c r="C158" s="68" t="s">
        <v>72</v>
      </c>
      <c r="D158" s="68" t="s">
        <v>289</v>
      </c>
      <c r="E158" s="68" t="s">
        <v>57</v>
      </c>
      <c r="F158" s="67" t="s">
        <v>399</v>
      </c>
      <c r="G158" s="67" t="s">
        <v>99</v>
      </c>
      <c r="H158" s="68"/>
      <c r="I158" s="69">
        <v>46170.0</v>
      </c>
      <c r="J158" s="53" t="s">
        <v>60</v>
      </c>
      <c r="K158" s="67" t="s">
        <v>61</v>
      </c>
      <c r="L158" s="68" t="s">
        <v>81</v>
      </c>
      <c r="M158" s="67" t="s">
        <v>61</v>
      </c>
      <c r="N158" s="67">
        <v>15.0</v>
      </c>
      <c r="O158" s="67">
        <v>30.0</v>
      </c>
      <c r="P158" s="67">
        <v>3.0</v>
      </c>
      <c r="Q158" s="70" t="s">
        <v>400</v>
      </c>
      <c r="R158" s="67" t="s">
        <v>174</v>
      </c>
    </row>
    <row r="159" ht="36.75" customHeight="1">
      <c r="A159" s="67">
        <v>152.0</v>
      </c>
      <c r="B159" s="68" t="s">
        <v>401</v>
      </c>
      <c r="C159" s="68" t="s">
        <v>72</v>
      </c>
      <c r="D159" s="68" t="s">
        <v>289</v>
      </c>
      <c r="E159" s="68" t="s">
        <v>57</v>
      </c>
      <c r="F159" s="67" t="s">
        <v>337</v>
      </c>
      <c r="G159" s="67" t="s">
        <v>99</v>
      </c>
      <c r="H159" s="68"/>
      <c r="I159" s="69">
        <v>46170.0</v>
      </c>
      <c r="J159" s="53" t="s">
        <v>60</v>
      </c>
      <c r="K159" s="67" t="s">
        <v>61</v>
      </c>
      <c r="L159" s="68" t="s">
        <v>81</v>
      </c>
      <c r="M159" s="67" t="s">
        <v>61</v>
      </c>
      <c r="N159" s="67">
        <v>12.0</v>
      </c>
      <c r="O159" s="67">
        <v>26.0</v>
      </c>
      <c r="P159" s="67">
        <v>3.0</v>
      </c>
      <c r="Q159" s="70" t="s">
        <v>402</v>
      </c>
      <c r="R159" s="67" t="s">
        <v>174</v>
      </c>
    </row>
    <row r="160" ht="39.0" customHeight="1">
      <c r="A160" s="67">
        <v>153.0</v>
      </c>
      <c r="B160" s="68" t="s">
        <v>403</v>
      </c>
      <c r="C160" s="68" t="s">
        <v>72</v>
      </c>
      <c r="D160" s="68" t="s">
        <v>289</v>
      </c>
      <c r="E160" s="68" t="s">
        <v>57</v>
      </c>
      <c r="F160" s="67" t="s">
        <v>404</v>
      </c>
      <c r="G160" s="67" t="s">
        <v>99</v>
      </c>
      <c r="H160" s="68"/>
      <c r="I160" s="69">
        <v>46170.0</v>
      </c>
      <c r="J160" s="53" t="s">
        <v>60</v>
      </c>
      <c r="K160" s="67" t="s">
        <v>61</v>
      </c>
      <c r="L160" s="68" t="s">
        <v>81</v>
      </c>
      <c r="M160" s="67" t="s">
        <v>61</v>
      </c>
      <c r="N160" s="67">
        <v>10.0</v>
      </c>
      <c r="O160" s="67">
        <v>20.0</v>
      </c>
      <c r="P160" s="67">
        <v>3.0</v>
      </c>
      <c r="Q160" s="70" t="s">
        <v>405</v>
      </c>
      <c r="R160" s="67" t="s">
        <v>174</v>
      </c>
    </row>
    <row r="161" ht="18.0" customHeight="1">
      <c r="A161" s="67">
        <v>154.0</v>
      </c>
      <c r="B161" s="68" t="s">
        <v>406</v>
      </c>
      <c r="C161" s="68" t="s">
        <v>72</v>
      </c>
      <c r="D161" s="68" t="s">
        <v>289</v>
      </c>
      <c r="E161" s="68" t="s">
        <v>57</v>
      </c>
      <c r="F161" s="68"/>
      <c r="G161" s="68"/>
      <c r="H161" s="68"/>
      <c r="I161" s="68"/>
      <c r="J161" s="68" t="s">
        <v>192</v>
      </c>
      <c r="K161" s="68" t="s">
        <v>81</v>
      </c>
      <c r="L161" s="68" t="s">
        <v>81</v>
      </c>
      <c r="M161" s="68" t="s">
        <v>81</v>
      </c>
      <c r="N161" s="68">
        <v>0.0</v>
      </c>
      <c r="O161" s="68">
        <v>0.0</v>
      </c>
      <c r="P161" s="68">
        <v>0.0</v>
      </c>
      <c r="Q161" s="68"/>
      <c r="R161" s="68"/>
    </row>
    <row r="162">
      <c r="A162" s="67">
        <v>155.0</v>
      </c>
      <c r="B162" s="68" t="s">
        <v>407</v>
      </c>
      <c r="C162" s="68" t="s">
        <v>72</v>
      </c>
      <c r="D162" s="68" t="s">
        <v>289</v>
      </c>
      <c r="E162" s="68" t="s">
        <v>57</v>
      </c>
      <c r="F162" s="67" t="s">
        <v>301</v>
      </c>
      <c r="G162" s="67" t="s">
        <v>80</v>
      </c>
      <c r="H162" s="68"/>
      <c r="I162" s="68"/>
      <c r="J162" s="53" t="s">
        <v>60</v>
      </c>
      <c r="K162" s="67" t="s">
        <v>61</v>
      </c>
      <c r="L162" s="68" t="s">
        <v>81</v>
      </c>
      <c r="M162" s="67" t="s">
        <v>61</v>
      </c>
      <c r="N162" s="68">
        <v>0.0</v>
      </c>
      <c r="O162" s="68">
        <v>0.0</v>
      </c>
      <c r="P162" s="68">
        <v>0.0</v>
      </c>
      <c r="Q162" s="68"/>
      <c r="R162" s="67" t="s">
        <v>83</v>
      </c>
    </row>
    <row r="163" ht="18.0" customHeight="1">
      <c r="A163" s="67">
        <v>156.0</v>
      </c>
      <c r="B163" s="68" t="s">
        <v>408</v>
      </c>
      <c r="C163" s="68" t="s">
        <v>72</v>
      </c>
      <c r="D163" s="68" t="s">
        <v>289</v>
      </c>
      <c r="E163" s="68" t="s">
        <v>57</v>
      </c>
      <c r="F163" s="67" t="s">
        <v>314</v>
      </c>
      <c r="G163" s="67" t="s">
        <v>99</v>
      </c>
      <c r="H163" s="68"/>
      <c r="I163" s="69">
        <v>46171.0</v>
      </c>
      <c r="J163" s="53" t="s">
        <v>60</v>
      </c>
      <c r="K163" s="67" t="s">
        <v>61</v>
      </c>
      <c r="L163" s="68" t="s">
        <v>81</v>
      </c>
      <c r="M163" s="67" t="s">
        <v>61</v>
      </c>
      <c r="N163" s="67">
        <v>9.0</v>
      </c>
      <c r="O163" s="67">
        <v>18.0</v>
      </c>
      <c r="P163" s="67">
        <v>3.0</v>
      </c>
      <c r="Q163" s="70" t="s">
        <v>409</v>
      </c>
      <c r="R163" s="67" t="s">
        <v>174</v>
      </c>
    </row>
    <row r="164" ht="18.0" customHeight="1">
      <c r="A164" s="67">
        <v>157.0</v>
      </c>
      <c r="B164" s="68" t="s">
        <v>410</v>
      </c>
      <c r="C164" s="68" t="s">
        <v>72</v>
      </c>
      <c r="D164" s="68" t="s">
        <v>289</v>
      </c>
      <c r="E164" s="68" t="s">
        <v>57</v>
      </c>
      <c r="F164" s="67" t="s">
        <v>317</v>
      </c>
      <c r="G164" s="67" t="s">
        <v>99</v>
      </c>
      <c r="H164" s="68"/>
      <c r="I164" s="69">
        <v>46171.0</v>
      </c>
      <c r="J164" s="53" t="s">
        <v>60</v>
      </c>
      <c r="K164" s="67" t="s">
        <v>61</v>
      </c>
      <c r="L164" s="68" t="s">
        <v>81</v>
      </c>
      <c r="M164" s="67" t="s">
        <v>61</v>
      </c>
      <c r="N164" s="67">
        <v>11.0</v>
      </c>
      <c r="O164" s="67">
        <v>27.0</v>
      </c>
      <c r="P164" s="67">
        <v>3.0</v>
      </c>
      <c r="Q164" s="70" t="s">
        <v>411</v>
      </c>
      <c r="R164" s="67" t="s">
        <v>174</v>
      </c>
    </row>
    <row r="165" ht="18.0" customHeight="1">
      <c r="A165" s="67">
        <v>158.0</v>
      </c>
      <c r="B165" s="68" t="s">
        <v>412</v>
      </c>
      <c r="C165" s="68" t="s">
        <v>72</v>
      </c>
      <c r="D165" s="68" t="s">
        <v>289</v>
      </c>
      <c r="E165" s="68" t="s">
        <v>57</v>
      </c>
      <c r="F165" s="68"/>
      <c r="G165" s="68"/>
      <c r="H165" s="68"/>
      <c r="I165" s="68"/>
      <c r="J165" s="68" t="s">
        <v>192</v>
      </c>
      <c r="K165" s="68" t="s">
        <v>81</v>
      </c>
      <c r="L165" s="68" t="s">
        <v>81</v>
      </c>
      <c r="M165" s="68" t="s">
        <v>81</v>
      </c>
      <c r="N165" s="68">
        <v>0.0</v>
      </c>
      <c r="O165" s="68">
        <v>0.0</v>
      </c>
      <c r="P165" s="68">
        <v>0.0</v>
      </c>
      <c r="Q165" s="68"/>
      <c r="R165" s="68"/>
    </row>
    <row r="166" ht="18.0" customHeight="1">
      <c r="A166" s="67">
        <v>159.0</v>
      </c>
      <c r="B166" s="68" t="s">
        <v>413</v>
      </c>
      <c r="C166" s="68" t="s">
        <v>72</v>
      </c>
      <c r="D166" s="68" t="s">
        <v>289</v>
      </c>
      <c r="E166" s="68" t="s">
        <v>57</v>
      </c>
      <c r="F166" s="68" t="s">
        <v>309</v>
      </c>
      <c r="G166" s="68"/>
      <c r="H166" s="68"/>
      <c r="I166" s="74">
        <v>46170.0</v>
      </c>
      <c r="J166" s="68" t="s">
        <v>192</v>
      </c>
      <c r="K166" s="68" t="s">
        <v>81</v>
      </c>
      <c r="L166" s="68" t="s">
        <v>81</v>
      </c>
      <c r="M166" s="68" t="s">
        <v>81</v>
      </c>
      <c r="N166" s="68">
        <v>0.0</v>
      </c>
      <c r="O166" s="68">
        <v>0.0</v>
      </c>
      <c r="P166" s="68">
        <v>0.0</v>
      </c>
      <c r="Q166" s="67" t="s">
        <v>414</v>
      </c>
      <c r="R166" s="67" t="s">
        <v>63</v>
      </c>
    </row>
    <row r="167" ht="18.0" customHeight="1">
      <c r="A167" s="67">
        <v>160.0</v>
      </c>
      <c r="B167" s="68" t="s">
        <v>415</v>
      </c>
      <c r="C167" s="68" t="s">
        <v>72</v>
      </c>
      <c r="D167" s="68" t="s">
        <v>289</v>
      </c>
      <c r="E167" s="68" t="s">
        <v>57</v>
      </c>
      <c r="F167" s="68"/>
      <c r="G167" s="68"/>
      <c r="H167" s="68"/>
      <c r="I167" s="68"/>
      <c r="J167" s="68" t="s">
        <v>192</v>
      </c>
      <c r="K167" s="68" t="s">
        <v>81</v>
      </c>
      <c r="L167" s="68" t="s">
        <v>81</v>
      </c>
      <c r="M167" s="68" t="s">
        <v>81</v>
      </c>
      <c r="N167" s="68">
        <v>0.0</v>
      </c>
      <c r="O167" s="68">
        <v>0.0</v>
      </c>
      <c r="P167" s="68">
        <v>0.0</v>
      </c>
      <c r="Q167" s="68"/>
      <c r="R167" s="68"/>
    </row>
    <row r="168" ht="18.0" customHeight="1">
      <c r="A168" s="67">
        <v>161.0</v>
      </c>
      <c r="B168" s="68" t="s">
        <v>416</v>
      </c>
      <c r="C168" s="68" t="s">
        <v>72</v>
      </c>
      <c r="D168" s="68" t="s">
        <v>289</v>
      </c>
      <c r="E168" s="68" t="s">
        <v>57</v>
      </c>
      <c r="F168" s="68"/>
      <c r="G168" s="68"/>
      <c r="H168" s="68"/>
      <c r="I168" s="68"/>
      <c r="J168" s="68" t="s">
        <v>192</v>
      </c>
      <c r="K168" s="68" t="s">
        <v>81</v>
      </c>
      <c r="L168" s="68" t="s">
        <v>81</v>
      </c>
      <c r="M168" s="68" t="s">
        <v>81</v>
      </c>
      <c r="N168" s="68">
        <v>0.0</v>
      </c>
      <c r="O168" s="68">
        <v>0.0</v>
      </c>
      <c r="P168" s="68">
        <v>0.0</v>
      </c>
      <c r="Q168" s="68"/>
      <c r="R168" s="68"/>
    </row>
    <row r="169" ht="18.0" customHeight="1">
      <c r="A169" s="67">
        <v>162.0</v>
      </c>
      <c r="B169" s="68" t="s">
        <v>417</v>
      </c>
      <c r="C169" s="68" t="s">
        <v>72</v>
      </c>
      <c r="D169" s="68" t="s">
        <v>289</v>
      </c>
      <c r="E169" s="68" t="s">
        <v>57</v>
      </c>
      <c r="F169" s="68"/>
      <c r="G169" s="68"/>
      <c r="H169" s="68"/>
      <c r="I169" s="68"/>
      <c r="J169" s="68" t="s">
        <v>192</v>
      </c>
      <c r="K169" s="68" t="s">
        <v>81</v>
      </c>
      <c r="L169" s="68" t="s">
        <v>81</v>
      </c>
      <c r="M169" s="68" t="s">
        <v>81</v>
      </c>
      <c r="N169" s="68">
        <v>0.0</v>
      </c>
      <c r="O169" s="68">
        <v>0.0</v>
      </c>
      <c r="P169" s="68">
        <v>0.0</v>
      </c>
      <c r="Q169" s="68"/>
      <c r="R169" s="68"/>
    </row>
    <row r="170" ht="18.0" customHeight="1">
      <c r="A170" s="67">
        <v>163.0</v>
      </c>
      <c r="B170" s="68" t="s">
        <v>418</v>
      </c>
      <c r="C170" s="68" t="s">
        <v>72</v>
      </c>
      <c r="D170" s="68" t="s">
        <v>289</v>
      </c>
      <c r="E170" s="68" t="s">
        <v>57</v>
      </c>
      <c r="F170" s="68"/>
      <c r="G170" s="68"/>
      <c r="H170" s="68"/>
      <c r="I170" s="68"/>
      <c r="J170" s="68" t="s">
        <v>192</v>
      </c>
      <c r="K170" s="68" t="s">
        <v>81</v>
      </c>
      <c r="L170" s="68" t="s">
        <v>81</v>
      </c>
      <c r="M170" s="68" t="s">
        <v>81</v>
      </c>
      <c r="N170" s="68">
        <v>0.0</v>
      </c>
      <c r="O170" s="68">
        <v>0.0</v>
      </c>
      <c r="P170" s="68">
        <v>0.0</v>
      </c>
      <c r="Q170" s="68"/>
      <c r="R170" s="68"/>
    </row>
    <row r="171" ht="18.0" customHeight="1">
      <c r="A171" s="67">
        <v>164.0</v>
      </c>
      <c r="B171" s="68" t="s">
        <v>419</v>
      </c>
      <c r="C171" s="68" t="s">
        <v>72</v>
      </c>
      <c r="D171" s="68" t="s">
        <v>289</v>
      </c>
      <c r="E171" s="68" t="s">
        <v>57</v>
      </c>
      <c r="F171" s="68"/>
      <c r="G171" s="68"/>
      <c r="H171" s="68"/>
      <c r="I171" s="68"/>
      <c r="J171" s="68" t="s">
        <v>192</v>
      </c>
      <c r="K171" s="68" t="s">
        <v>81</v>
      </c>
      <c r="L171" s="68" t="s">
        <v>81</v>
      </c>
      <c r="M171" s="68" t="s">
        <v>81</v>
      </c>
      <c r="N171" s="68">
        <v>0.0</v>
      </c>
      <c r="O171" s="68">
        <v>0.0</v>
      </c>
      <c r="P171" s="68">
        <v>0.0</v>
      </c>
      <c r="Q171" s="68"/>
      <c r="R171" s="68"/>
    </row>
    <row r="172" ht="18.0" customHeight="1">
      <c r="A172" s="67">
        <v>165.0</v>
      </c>
      <c r="B172" s="68" t="s">
        <v>420</v>
      </c>
      <c r="C172" s="68" t="s">
        <v>72</v>
      </c>
      <c r="D172" s="68" t="s">
        <v>289</v>
      </c>
      <c r="E172" s="68" t="s">
        <v>57</v>
      </c>
      <c r="F172" s="68"/>
      <c r="G172" s="68"/>
      <c r="H172" s="68"/>
      <c r="I172" s="68"/>
      <c r="J172" s="68" t="s">
        <v>192</v>
      </c>
      <c r="K172" s="68" t="s">
        <v>81</v>
      </c>
      <c r="L172" s="68" t="s">
        <v>81</v>
      </c>
      <c r="M172" s="68" t="s">
        <v>81</v>
      </c>
      <c r="N172" s="68">
        <v>0.0</v>
      </c>
      <c r="O172" s="68">
        <v>0.0</v>
      </c>
      <c r="P172" s="68">
        <v>0.0</v>
      </c>
      <c r="Q172" s="68"/>
      <c r="R172" s="68"/>
    </row>
    <row r="173" ht="18.0" customHeight="1">
      <c r="A173" s="67">
        <v>166.0</v>
      </c>
      <c r="B173" s="68" t="s">
        <v>421</v>
      </c>
      <c r="C173" s="68" t="s">
        <v>72</v>
      </c>
      <c r="D173" s="68" t="s">
        <v>289</v>
      </c>
      <c r="E173" s="68" t="s">
        <v>57</v>
      </c>
      <c r="F173" s="68"/>
      <c r="G173" s="68"/>
      <c r="H173" s="68"/>
      <c r="I173" s="68"/>
      <c r="J173" s="68" t="s">
        <v>192</v>
      </c>
      <c r="K173" s="68" t="s">
        <v>81</v>
      </c>
      <c r="L173" s="68" t="s">
        <v>81</v>
      </c>
      <c r="M173" s="68" t="s">
        <v>81</v>
      </c>
      <c r="N173" s="68">
        <v>0.0</v>
      </c>
      <c r="O173" s="68">
        <v>0.0</v>
      </c>
      <c r="P173" s="68">
        <v>0.0</v>
      </c>
      <c r="Q173" s="68"/>
      <c r="R173" s="68"/>
    </row>
    <row r="174" ht="18.0" customHeight="1">
      <c r="A174" s="67">
        <v>167.0</v>
      </c>
      <c r="B174" s="68" t="s">
        <v>422</v>
      </c>
      <c r="C174" s="68" t="s">
        <v>72</v>
      </c>
      <c r="D174" s="68" t="s">
        <v>289</v>
      </c>
      <c r="E174" s="68" t="s">
        <v>57</v>
      </c>
      <c r="F174" s="68"/>
      <c r="G174" s="68"/>
      <c r="H174" s="68"/>
      <c r="I174" s="68"/>
      <c r="J174" s="68" t="s">
        <v>192</v>
      </c>
      <c r="K174" s="68" t="s">
        <v>81</v>
      </c>
      <c r="L174" s="68" t="s">
        <v>81</v>
      </c>
      <c r="M174" s="68" t="s">
        <v>81</v>
      </c>
      <c r="N174" s="68">
        <v>0.0</v>
      </c>
      <c r="O174" s="68">
        <v>0.0</v>
      </c>
      <c r="P174" s="68">
        <v>0.0</v>
      </c>
      <c r="Q174" s="68"/>
      <c r="R174" s="68"/>
    </row>
    <row r="175" ht="18.0" customHeight="1">
      <c r="A175" s="67">
        <v>168.0</v>
      </c>
      <c r="B175" s="68" t="s">
        <v>423</v>
      </c>
      <c r="C175" s="68" t="s">
        <v>72</v>
      </c>
      <c r="D175" s="68" t="s">
        <v>289</v>
      </c>
      <c r="E175" s="68" t="s">
        <v>57</v>
      </c>
      <c r="F175" s="68"/>
      <c r="G175" s="68"/>
      <c r="H175" s="68"/>
      <c r="I175" s="68"/>
      <c r="J175" s="68" t="s">
        <v>192</v>
      </c>
      <c r="K175" s="68" t="s">
        <v>81</v>
      </c>
      <c r="L175" s="68" t="s">
        <v>81</v>
      </c>
      <c r="M175" s="68" t="s">
        <v>81</v>
      </c>
      <c r="N175" s="68">
        <v>0.0</v>
      </c>
      <c r="O175" s="68">
        <v>0.0</v>
      </c>
      <c r="P175" s="68">
        <v>0.0</v>
      </c>
      <c r="Q175" s="68"/>
      <c r="R175" s="68"/>
    </row>
    <row r="176" ht="18.0" customHeight="1">
      <c r="A176" s="67">
        <v>169.0</v>
      </c>
      <c r="B176" s="68" t="s">
        <v>424</v>
      </c>
      <c r="C176" s="68" t="s">
        <v>72</v>
      </c>
      <c r="D176" s="68" t="s">
        <v>289</v>
      </c>
      <c r="E176" s="68" t="s">
        <v>57</v>
      </c>
      <c r="F176" s="68"/>
      <c r="G176" s="68"/>
      <c r="H176" s="68"/>
      <c r="I176" s="68"/>
      <c r="J176" s="68" t="s">
        <v>192</v>
      </c>
      <c r="K176" s="68" t="s">
        <v>81</v>
      </c>
      <c r="L176" s="68" t="s">
        <v>81</v>
      </c>
      <c r="M176" s="68" t="s">
        <v>81</v>
      </c>
      <c r="N176" s="68">
        <v>0.0</v>
      </c>
      <c r="O176" s="68">
        <v>0.0</v>
      </c>
      <c r="P176" s="68">
        <v>0.0</v>
      </c>
      <c r="Q176" s="68"/>
      <c r="R176" s="68"/>
    </row>
    <row r="177" ht="18.0" customHeight="1">
      <c r="A177" s="67">
        <v>170.0</v>
      </c>
      <c r="B177" s="68" t="s">
        <v>425</v>
      </c>
      <c r="C177" s="68" t="s">
        <v>72</v>
      </c>
      <c r="D177" s="68" t="s">
        <v>289</v>
      </c>
      <c r="E177" s="68" t="s">
        <v>57</v>
      </c>
      <c r="F177" s="67" t="s">
        <v>330</v>
      </c>
      <c r="G177" s="67" t="s">
        <v>331</v>
      </c>
      <c r="H177" s="68"/>
      <c r="I177" s="69"/>
      <c r="J177" s="68" t="s">
        <v>192</v>
      </c>
      <c r="K177" s="68" t="s">
        <v>81</v>
      </c>
      <c r="L177" s="68" t="s">
        <v>81</v>
      </c>
      <c r="M177" s="68" t="s">
        <v>81</v>
      </c>
      <c r="N177" s="67">
        <v>0.0</v>
      </c>
      <c r="O177" s="67">
        <v>0.0</v>
      </c>
      <c r="P177" s="67">
        <v>0.0</v>
      </c>
      <c r="Q177" s="70" t="s">
        <v>426</v>
      </c>
      <c r="R177" s="67"/>
    </row>
    <row r="178" ht="24.75" customHeight="1">
      <c r="A178" s="67">
        <v>171.0</v>
      </c>
      <c r="B178" s="67" t="s">
        <v>427</v>
      </c>
      <c r="C178" s="67" t="s">
        <v>428</v>
      </c>
      <c r="D178" s="68" t="s">
        <v>289</v>
      </c>
      <c r="E178" s="68" t="s">
        <v>57</v>
      </c>
      <c r="F178" s="67" t="s">
        <v>429</v>
      </c>
      <c r="G178" s="67" t="s">
        <v>99</v>
      </c>
      <c r="H178" s="67" t="s">
        <v>430</v>
      </c>
      <c r="I178" s="69">
        <v>46145.0</v>
      </c>
      <c r="J178" s="53" t="s">
        <v>60</v>
      </c>
      <c r="K178" s="67" t="s">
        <v>431</v>
      </c>
      <c r="L178" s="68" t="s">
        <v>81</v>
      </c>
      <c r="M178" s="67" t="s">
        <v>431</v>
      </c>
      <c r="N178" s="67">
        <v>0.0</v>
      </c>
      <c r="O178" s="67">
        <v>1.0</v>
      </c>
      <c r="P178" s="67">
        <v>2.0</v>
      </c>
      <c r="Q178" s="67" t="s">
        <v>285</v>
      </c>
      <c r="R178" s="67" t="s">
        <v>174</v>
      </c>
    </row>
    <row r="179" ht="18.0" customHeight="1">
      <c r="A179" s="67">
        <v>172.0</v>
      </c>
      <c r="B179" s="67" t="s">
        <v>432</v>
      </c>
      <c r="C179" s="67" t="s">
        <v>428</v>
      </c>
      <c r="D179" s="68" t="s">
        <v>289</v>
      </c>
      <c r="E179" s="68" t="s">
        <v>57</v>
      </c>
      <c r="F179" s="67" t="s">
        <v>337</v>
      </c>
      <c r="G179" s="67" t="s">
        <v>99</v>
      </c>
      <c r="H179" s="67" t="s">
        <v>430</v>
      </c>
      <c r="I179" s="69">
        <v>46170.0</v>
      </c>
      <c r="J179" s="53" t="s">
        <v>60</v>
      </c>
      <c r="K179" s="67" t="s">
        <v>61</v>
      </c>
      <c r="L179" s="68" t="s">
        <v>81</v>
      </c>
      <c r="M179" s="67" t="s">
        <v>61</v>
      </c>
      <c r="N179" s="67">
        <v>24.0</v>
      </c>
      <c r="O179" s="67">
        <v>24.0</v>
      </c>
      <c r="P179" s="67">
        <v>3.0</v>
      </c>
      <c r="Q179" s="67"/>
      <c r="R179" s="67" t="s">
        <v>174</v>
      </c>
    </row>
    <row r="180" ht="18.0" customHeight="1">
      <c r="A180" s="67">
        <v>173.0</v>
      </c>
      <c r="B180" s="67" t="s">
        <v>433</v>
      </c>
      <c r="C180" s="67" t="s">
        <v>428</v>
      </c>
      <c r="D180" s="68" t="s">
        <v>289</v>
      </c>
      <c r="E180" s="68" t="s">
        <v>57</v>
      </c>
      <c r="F180" s="67" t="s">
        <v>322</v>
      </c>
      <c r="G180" s="67"/>
      <c r="H180" s="67" t="s">
        <v>430</v>
      </c>
      <c r="I180" s="69"/>
      <c r="J180" s="68" t="s">
        <v>192</v>
      </c>
      <c r="K180" s="68" t="s">
        <v>81</v>
      </c>
      <c r="L180" s="68" t="s">
        <v>81</v>
      </c>
      <c r="M180" s="68" t="s">
        <v>81</v>
      </c>
      <c r="N180" s="67">
        <v>0.0</v>
      </c>
      <c r="O180" s="67">
        <v>0.0</v>
      </c>
      <c r="P180" s="67">
        <v>0.0</v>
      </c>
      <c r="Q180" s="67"/>
      <c r="R180" s="67" t="s">
        <v>154</v>
      </c>
    </row>
    <row r="181" ht="18.0" customHeight="1">
      <c r="A181" s="67">
        <v>174.0</v>
      </c>
      <c r="B181" s="67" t="s">
        <v>434</v>
      </c>
      <c r="C181" s="67" t="s">
        <v>428</v>
      </c>
      <c r="D181" s="68" t="s">
        <v>289</v>
      </c>
      <c r="E181" s="68" t="s">
        <v>57</v>
      </c>
      <c r="F181" s="68"/>
      <c r="G181" s="68"/>
      <c r="H181" s="68"/>
      <c r="I181" s="68"/>
      <c r="J181" s="68" t="s">
        <v>192</v>
      </c>
      <c r="K181" s="68" t="s">
        <v>81</v>
      </c>
      <c r="L181" s="68" t="s">
        <v>81</v>
      </c>
      <c r="M181" s="68" t="s">
        <v>81</v>
      </c>
      <c r="N181" s="68">
        <v>0.0</v>
      </c>
      <c r="O181" s="68">
        <v>0.0</v>
      </c>
      <c r="P181" s="68">
        <v>0.0</v>
      </c>
      <c r="Q181" s="68"/>
      <c r="R181" s="68"/>
    </row>
    <row r="182" ht="18.0" customHeight="1">
      <c r="A182" s="67">
        <v>175.0</v>
      </c>
      <c r="B182" s="67" t="s">
        <v>435</v>
      </c>
      <c r="C182" s="67" t="s">
        <v>428</v>
      </c>
      <c r="D182" s="68" t="s">
        <v>289</v>
      </c>
      <c r="E182" s="68" t="s">
        <v>57</v>
      </c>
      <c r="F182" s="67" t="s">
        <v>301</v>
      </c>
      <c r="G182" s="67" t="s">
        <v>80</v>
      </c>
      <c r="H182" s="68"/>
      <c r="I182" s="68"/>
      <c r="J182" s="53" t="s">
        <v>60</v>
      </c>
      <c r="K182" s="67" t="s">
        <v>61</v>
      </c>
      <c r="L182" s="68" t="s">
        <v>81</v>
      </c>
      <c r="M182" s="67" t="s">
        <v>61</v>
      </c>
      <c r="N182" s="68">
        <v>0.0</v>
      </c>
      <c r="O182" s="68">
        <v>0.0</v>
      </c>
      <c r="P182" s="68">
        <v>0.0</v>
      </c>
      <c r="Q182" s="68"/>
      <c r="R182" s="67" t="s">
        <v>115</v>
      </c>
    </row>
    <row r="183" ht="18.0" customHeight="1">
      <c r="A183" s="67">
        <v>176.0</v>
      </c>
      <c r="B183" s="67" t="s">
        <v>436</v>
      </c>
      <c r="C183" s="67" t="s">
        <v>428</v>
      </c>
      <c r="D183" s="68" t="s">
        <v>289</v>
      </c>
      <c r="E183" s="68" t="s">
        <v>57</v>
      </c>
      <c r="F183" s="67" t="s">
        <v>437</v>
      </c>
      <c r="G183" s="67" t="s">
        <v>99</v>
      </c>
      <c r="H183" s="67" t="s">
        <v>438</v>
      </c>
      <c r="I183" s="69">
        <v>46178.0</v>
      </c>
      <c r="J183" s="53" t="s">
        <v>60</v>
      </c>
      <c r="K183" s="67" t="s">
        <v>61</v>
      </c>
      <c r="L183" s="68" t="s">
        <v>81</v>
      </c>
      <c r="M183" s="67" t="s">
        <v>61</v>
      </c>
      <c r="N183" s="68">
        <v>0.0</v>
      </c>
      <c r="O183" s="68">
        <v>0.0</v>
      </c>
      <c r="P183" s="68">
        <v>0.0</v>
      </c>
      <c r="Q183" s="70" t="s">
        <v>439</v>
      </c>
      <c r="R183" s="68"/>
    </row>
    <row r="184" ht="18.0" customHeight="1">
      <c r="A184" s="67">
        <v>177.0</v>
      </c>
      <c r="B184" s="67" t="s">
        <v>440</v>
      </c>
      <c r="C184" s="67" t="s">
        <v>428</v>
      </c>
      <c r="D184" s="68" t="s">
        <v>289</v>
      </c>
      <c r="E184" s="68" t="s">
        <v>57</v>
      </c>
      <c r="F184" s="68"/>
      <c r="G184" s="68"/>
      <c r="H184" s="68"/>
      <c r="I184" s="68"/>
      <c r="J184" s="68" t="s">
        <v>192</v>
      </c>
      <c r="K184" s="68" t="s">
        <v>81</v>
      </c>
      <c r="L184" s="68" t="s">
        <v>81</v>
      </c>
      <c r="M184" s="68" t="s">
        <v>81</v>
      </c>
      <c r="N184" s="68">
        <v>0.0</v>
      </c>
      <c r="O184" s="68">
        <v>0.0</v>
      </c>
      <c r="P184" s="68">
        <v>0.0</v>
      </c>
      <c r="Q184" s="68"/>
      <c r="R184" s="68"/>
    </row>
    <row r="185" ht="18.0" customHeight="1">
      <c r="A185" s="67">
        <v>178.0</v>
      </c>
      <c r="B185" s="67" t="s">
        <v>441</v>
      </c>
      <c r="C185" s="67" t="s">
        <v>428</v>
      </c>
      <c r="D185" s="68" t="s">
        <v>289</v>
      </c>
      <c r="E185" s="68" t="s">
        <v>57</v>
      </c>
      <c r="F185" s="68"/>
      <c r="G185" s="68"/>
      <c r="H185" s="68"/>
      <c r="I185" s="68"/>
      <c r="J185" s="68" t="s">
        <v>192</v>
      </c>
      <c r="K185" s="68" t="s">
        <v>81</v>
      </c>
      <c r="L185" s="68" t="s">
        <v>81</v>
      </c>
      <c r="M185" s="68" t="s">
        <v>81</v>
      </c>
      <c r="N185" s="68">
        <v>0.0</v>
      </c>
      <c r="O185" s="68">
        <v>0.0</v>
      </c>
      <c r="P185" s="68">
        <v>0.0</v>
      </c>
      <c r="Q185" s="68"/>
      <c r="R185" s="68"/>
    </row>
    <row r="186" ht="18.0" customHeight="1">
      <c r="A186" s="67">
        <v>179.0</v>
      </c>
      <c r="B186" s="67" t="s">
        <v>442</v>
      </c>
      <c r="C186" s="67" t="s">
        <v>428</v>
      </c>
      <c r="D186" s="68" t="s">
        <v>289</v>
      </c>
      <c r="E186" s="68" t="s">
        <v>57</v>
      </c>
      <c r="F186" s="68" t="s">
        <v>309</v>
      </c>
      <c r="G186" s="68"/>
      <c r="H186" s="68"/>
      <c r="I186" s="74">
        <v>46170.0</v>
      </c>
      <c r="J186" s="68" t="s">
        <v>192</v>
      </c>
      <c r="K186" s="68" t="s">
        <v>81</v>
      </c>
      <c r="L186" s="68" t="s">
        <v>81</v>
      </c>
      <c r="M186" s="68" t="s">
        <v>81</v>
      </c>
      <c r="N186" s="68">
        <v>0.0</v>
      </c>
      <c r="O186" s="68">
        <v>0.0</v>
      </c>
      <c r="P186" s="68">
        <v>0.0</v>
      </c>
      <c r="Q186" s="67" t="s">
        <v>414</v>
      </c>
      <c r="R186" s="67" t="s">
        <v>63</v>
      </c>
    </row>
    <row r="187" ht="32.25" customHeight="1">
      <c r="A187" s="67">
        <v>180.0</v>
      </c>
      <c r="B187" s="67" t="s">
        <v>443</v>
      </c>
      <c r="C187" s="81" t="s">
        <v>75</v>
      </c>
      <c r="D187" s="68" t="s">
        <v>289</v>
      </c>
      <c r="E187" s="68" t="s">
        <v>57</v>
      </c>
      <c r="F187" s="67" t="s">
        <v>444</v>
      </c>
      <c r="G187" s="68"/>
      <c r="H187" s="67" t="s">
        <v>438</v>
      </c>
      <c r="I187" s="74">
        <v>46170.0</v>
      </c>
      <c r="J187" s="68" t="s">
        <v>192</v>
      </c>
      <c r="K187" s="82" t="s">
        <v>61</v>
      </c>
      <c r="L187" s="83" t="s">
        <v>81</v>
      </c>
      <c r="M187" s="82" t="s">
        <v>61</v>
      </c>
      <c r="N187" s="83">
        <v>0.0</v>
      </c>
      <c r="O187" s="82">
        <v>1.0</v>
      </c>
      <c r="P187" s="82">
        <v>2.0</v>
      </c>
      <c r="Q187" s="67" t="s">
        <v>285</v>
      </c>
      <c r="R187" s="82" t="s">
        <v>174</v>
      </c>
    </row>
    <row r="188" ht="18.75" customHeight="1">
      <c r="A188" s="67">
        <v>181.0</v>
      </c>
      <c r="B188" s="68" t="s">
        <v>416</v>
      </c>
      <c r="C188" s="68" t="s">
        <v>72</v>
      </c>
      <c r="D188" s="68" t="s">
        <v>289</v>
      </c>
      <c r="E188" s="68" t="s">
        <v>57</v>
      </c>
      <c r="F188" s="68"/>
      <c r="G188" s="68"/>
      <c r="H188" s="68"/>
      <c r="I188" s="68"/>
      <c r="J188" s="68" t="s">
        <v>192</v>
      </c>
      <c r="K188" s="68" t="s">
        <v>81</v>
      </c>
      <c r="L188" s="68" t="s">
        <v>81</v>
      </c>
      <c r="M188" s="68" t="s">
        <v>81</v>
      </c>
      <c r="N188" s="68">
        <v>0.0</v>
      </c>
      <c r="O188" s="68">
        <v>0.0</v>
      </c>
      <c r="P188" s="68">
        <v>0.0</v>
      </c>
      <c r="Q188" s="68"/>
      <c r="R188" s="68"/>
    </row>
    <row r="189" ht="18.75" customHeight="1">
      <c r="A189" s="67">
        <v>182.0</v>
      </c>
      <c r="B189" s="68" t="s">
        <v>417</v>
      </c>
      <c r="C189" s="68" t="s">
        <v>72</v>
      </c>
      <c r="D189" s="68" t="s">
        <v>289</v>
      </c>
      <c r="E189" s="68" t="s">
        <v>57</v>
      </c>
      <c r="F189" s="68"/>
      <c r="G189" s="68"/>
      <c r="H189" s="68"/>
      <c r="I189" s="68"/>
      <c r="J189" s="68" t="s">
        <v>192</v>
      </c>
      <c r="K189" s="68" t="s">
        <v>81</v>
      </c>
      <c r="L189" s="68" t="s">
        <v>81</v>
      </c>
      <c r="M189" s="68" t="s">
        <v>81</v>
      </c>
      <c r="N189" s="68">
        <v>0.0</v>
      </c>
      <c r="O189" s="68">
        <v>0.0</v>
      </c>
      <c r="P189" s="68">
        <v>0.0</v>
      </c>
      <c r="Q189" s="68"/>
      <c r="R189" s="68"/>
    </row>
    <row r="190" ht="18.75" customHeight="1">
      <c r="A190" s="67">
        <v>183.0</v>
      </c>
      <c r="B190" s="68" t="s">
        <v>418</v>
      </c>
      <c r="C190" s="68" t="s">
        <v>72</v>
      </c>
      <c r="D190" s="68" t="s">
        <v>289</v>
      </c>
      <c r="E190" s="68" t="s">
        <v>57</v>
      </c>
      <c r="F190" s="68"/>
      <c r="G190" s="68"/>
      <c r="H190" s="68"/>
      <c r="I190" s="68"/>
      <c r="J190" s="68" t="s">
        <v>192</v>
      </c>
      <c r="K190" s="68" t="s">
        <v>81</v>
      </c>
      <c r="L190" s="68" t="s">
        <v>81</v>
      </c>
      <c r="M190" s="68" t="s">
        <v>81</v>
      </c>
      <c r="N190" s="68">
        <v>0.0</v>
      </c>
      <c r="O190" s="68">
        <v>0.0</v>
      </c>
      <c r="P190" s="68">
        <v>0.0</v>
      </c>
      <c r="Q190" s="68"/>
      <c r="R190" s="68"/>
    </row>
    <row r="191" ht="18.75" customHeight="1">
      <c r="A191" s="67">
        <v>184.0</v>
      </c>
      <c r="B191" s="68" t="s">
        <v>419</v>
      </c>
      <c r="C191" s="68" t="s">
        <v>72</v>
      </c>
      <c r="D191" s="68" t="s">
        <v>289</v>
      </c>
      <c r="E191" s="68" t="s">
        <v>57</v>
      </c>
      <c r="F191" s="68"/>
      <c r="G191" s="68"/>
      <c r="H191" s="68"/>
      <c r="I191" s="68"/>
      <c r="J191" s="68" t="s">
        <v>192</v>
      </c>
      <c r="K191" s="68" t="s">
        <v>81</v>
      </c>
      <c r="L191" s="68" t="s">
        <v>81</v>
      </c>
      <c r="M191" s="68" t="s">
        <v>81</v>
      </c>
      <c r="N191" s="68">
        <v>0.0</v>
      </c>
      <c r="O191" s="68">
        <v>0.0</v>
      </c>
      <c r="P191" s="68">
        <v>0.0</v>
      </c>
      <c r="Q191" s="68"/>
      <c r="R191" s="68"/>
    </row>
    <row r="192" ht="18.75" customHeight="1">
      <c r="A192" s="67">
        <v>185.0</v>
      </c>
      <c r="B192" s="68" t="s">
        <v>420</v>
      </c>
      <c r="C192" s="68" t="s">
        <v>72</v>
      </c>
      <c r="D192" s="68" t="s">
        <v>289</v>
      </c>
      <c r="E192" s="68" t="s">
        <v>57</v>
      </c>
      <c r="F192" s="68"/>
      <c r="G192" s="68"/>
      <c r="H192" s="68"/>
      <c r="I192" s="68"/>
      <c r="J192" s="68" t="s">
        <v>192</v>
      </c>
      <c r="K192" s="68" t="s">
        <v>81</v>
      </c>
      <c r="L192" s="68" t="s">
        <v>81</v>
      </c>
      <c r="M192" s="68" t="s">
        <v>81</v>
      </c>
      <c r="N192" s="68">
        <v>0.0</v>
      </c>
      <c r="O192" s="68">
        <v>0.0</v>
      </c>
      <c r="P192" s="68">
        <v>0.0</v>
      </c>
      <c r="Q192" s="68"/>
      <c r="R192" s="68"/>
    </row>
    <row r="193" ht="18.75" customHeight="1">
      <c r="A193" s="67">
        <v>186.0</v>
      </c>
      <c r="B193" s="68" t="s">
        <v>421</v>
      </c>
      <c r="C193" s="68" t="s">
        <v>72</v>
      </c>
      <c r="D193" s="68" t="s">
        <v>289</v>
      </c>
      <c r="E193" s="68" t="s">
        <v>57</v>
      </c>
      <c r="F193" s="68"/>
      <c r="G193" s="68"/>
      <c r="H193" s="68"/>
      <c r="I193" s="68"/>
      <c r="J193" s="68" t="s">
        <v>192</v>
      </c>
      <c r="K193" s="68" t="s">
        <v>81</v>
      </c>
      <c r="L193" s="68" t="s">
        <v>81</v>
      </c>
      <c r="M193" s="68" t="s">
        <v>81</v>
      </c>
      <c r="N193" s="68">
        <v>0.0</v>
      </c>
      <c r="O193" s="68">
        <v>0.0</v>
      </c>
      <c r="P193" s="68">
        <v>0.0</v>
      </c>
      <c r="Q193" s="68"/>
      <c r="R193" s="68"/>
    </row>
    <row r="194" ht="18.75" customHeight="1">
      <c r="A194" s="67">
        <v>187.0</v>
      </c>
      <c r="B194" s="68" t="s">
        <v>422</v>
      </c>
      <c r="C194" s="68" t="s">
        <v>72</v>
      </c>
      <c r="D194" s="68" t="s">
        <v>289</v>
      </c>
      <c r="E194" s="68" t="s">
        <v>57</v>
      </c>
      <c r="F194" s="68"/>
      <c r="G194" s="68"/>
      <c r="H194" s="68"/>
      <c r="I194" s="68"/>
      <c r="J194" s="68" t="s">
        <v>192</v>
      </c>
      <c r="K194" s="68" t="s">
        <v>81</v>
      </c>
      <c r="L194" s="68" t="s">
        <v>81</v>
      </c>
      <c r="M194" s="68" t="s">
        <v>81</v>
      </c>
      <c r="N194" s="68">
        <v>0.0</v>
      </c>
      <c r="O194" s="68">
        <v>0.0</v>
      </c>
      <c r="P194" s="68">
        <v>0.0</v>
      </c>
      <c r="Q194" s="68"/>
      <c r="R194" s="68"/>
    </row>
    <row r="195" ht="18.75" customHeight="1">
      <c r="A195" s="67">
        <v>188.0</v>
      </c>
      <c r="B195" s="68" t="s">
        <v>423</v>
      </c>
      <c r="C195" s="68" t="s">
        <v>72</v>
      </c>
      <c r="D195" s="68" t="s">
        <v>289</v>
      </c>
      <c r="E195" s="68" t="s">
        <v>57</v>
      </c>
      <c r="F195" s="68"/>
      <c r="G195" s="68"/>
      <c r="H195" s="68"/>
      <c r="I195" s="68"/>
      <c r="J195" s="68" t="s">
        <v>192</v>
      </c>
      <c r="K195" s="68" t="s">
        <v>81</v>
      </c>
      <c r="L195" s="68" t="s">
        <v>81</v>
      </c>
      <c r="M195" s="68" t="s">
        <v>81</v>
      </c>
      <c r="N195" s="68">
        <v>0.0</v>
      </c>
      <c r="O195" s="68">
        <v>0.0</v>
      </c>
      <c r="P195" s="68">
        <v>0.0</v>
      </c>
      <c r="Q195" s="68"/>
      <c r="R195" s="68"/>
    </row>
    <row r="196" ht="18.75" customHeight="1">
      <c r="A196" s="67">
        <v>189.0</v>
      </c>
      <c r="B196" s="68" t="s">
        <v>424</v>
      </c>
      <c r="C196" s="68" t="s">
        <v>72</v>
      </c>
      <c r="D196" s="68" t="s">
        <v>289</v>
      </c>
      <c r="E196" s="68" t="s">
        <v>57</v>
      </c>
      <c r="F196" s="68"/>
      <c r="G196" s="68"/>
      <c r="H196" s="68"/>
      <c r="I196" s="68"/>
      <c r="J196" s="68" t="s">
        <v>192</v>
      </c>
      <c r="K196" s="68" t="s">
        <v>81</v>
      </c>
      <c r="L196" s="68" t="s">
        <v>81</v>
      </c>
      <c r="M196" s="68" t="s">
        <v>81</v>
      </c>
      <c r="N196" s="68">
        <v>0.0</v>
      </c>
      <c r="O196" s="68">
        <v>0.0</v>
      </c>
      <c r="P196" s="68">
        <v>0.0</v>
      </c>
      <c r="Q196" s="68"/>
      <c r="R196" s="68"/>
    </row>
    <row r="197" ht="18.75" customHeight="1">
      <c r="A197" s="67">
        <v>190.0</v>
      </c>
      <c r="B197" s="68" t="s">
        <v>425</v>
      </c>
      <c r="C197" s="68" t="s">
        <v>72</v>
      </c>
      <c r="D197" s="68" t="s">
        <v>289</v>
      </c>
      <c r="E197" s="68" t="s">
        <v>57</v>
      </c>
      <c r="F197" s="68"/>
      <c r="G197" s="68"/>
      <c r="H197" s="68"/>
      <c r="I197" s="68"/>
      <c r="J197" s="68" t="s">
        <v>192</v>
      </c>
      <c r="K197" s="68" t="s">
        <v>81</v>
      </c>
      <c r="L197" s="68" t="s">
        <v>81</v>
      </c>
      <c r="M197" s="68" t="s">
        <v>81</v>
      </c>
      <c r="N197" s="68">
        <v>0.0</v>
      </c>
      <c r="O197" s="68">
        <v>0.0</v>
      </c>
      <c r="P197" s="68">
        <v>0.0</v>
      </c>
      <c r="Q197" s="68"/>
      <c r="R197" s="68"/>
    </row>
    <row r="198" ht="18.0" customHeight="1">
      <c r="A198" s="84">
        <v>191.0</v>
      </c>
      <c r="B198" s="85" t="s">
        <v>445</v>
      </c>
      <c r="C198" s="85" t="s">
        <v>55</v>
      </c>
      <c r="D198" s="85" t="s">
        <v>446</v>
      </c>
      <c r="E198" s="85" t="s">
        <v>57</v>
      </c>
      <c r="F198" s="85"/>
      <c r="G198" s="85"/>
      <c r="H198" s="85"/>
      <c r="I198" s="85"/>
      <c r="J198" s="85" t="s">
        <v>192</v>
      </c>
      <c r="K198" s="85" t="s">
        <v>81</v>
      </c>
      <c r="L198" s="85" t="s">
        <v>81</v>
      </c>
      <c r="M198" s="85" t="s">
        <v>81</v>
      </c>
      <c r="N198" s="85">
        <v>0.0</v>
      </c>
      <c r="O198" s="85">
        <v>0.0</v>
      </c>
      <c r="P198" s="85">
        <v>0.0</v>
      </c>
      <c r="Q198" s="85"/>
      <c r="R198" s="86"/>
    </row>
    <row r="199" ht="18.0" customHeight="1">
      <c r="A199" s="84">
        <v>192.0</v>
      </c>
      <c r="B199" s="85" t="s">
        <v>447</v>
      </c>
      <c r="C199" s="85" t="s">
        <v>55</v>
      </c>
      <c r="D199" s="85" t="s">
        <v>446</v>
      </c>
      <c r="E199" s="85" t="s">
        <v>57</v>
      </c>
      <c r="F199" s="85"/>
      <c r="G199" s="85"/>
      <c r="H199" s="85"/>
      <c r="I199" s="85"/>
      <c r="J199" s="85" t="s">
        <v>192</v>
      </c>
      <c r="K199" s="85" t="s">
        <v>81</v>
      </c>
      <c r="L199" s="85" t="s">
        <v>81</v>
      </c>
      <c r="M199" s="85" t="s">
        <v>81</v>
      </c>
      <c r="N199" s="85">
        <v>0.0</v>
      </c>
      <c r="O199" s="85">
        <v>0.0</v>
      </c>
      <c r="P199" s="85">
        <v>0.0</v>
      </c>
      <c r="Q199" s="85"/>
      <c r="R199" s="85"/>
    </row>
    <row r="200" ht="18.0" customHeight="1">
      <c r="A200" s="84">
        <v>193.0</v>
      </c>
      <c r="B200" s="85" t="s">
        <v>448</v>
      </c>
      <c r="C200" s="85" t="s">
        <v>55</v>
      </c>
      <c r="D200" s="85" t="s">
        <v>446</v>
      </c>
      <c r="E200" s="85" t="s">
        <v>57</v>
      </c>
      <c r="F200" s="85"/>
      <c r="G200" s="85"/>
      <c r="H200" s="85"/>
      <c r="I200" s="85"/>
      <c r="J200" s="85" t="s">
        <v>192</v>
      </c>
      <c r="K200" s="85" t="s">
        <v>81</v>
      </c>
      <c r="L200" s="85" t="s">
        <v>81</v>
      </c>
      <c r="M200" s="85" t="s">
        <v>81</v>
      </c>
      <c r="N200" s="85">
        <v>0.0</v>
      </c>
      <c r="O200" s="85">
        <v>0.0</v>
      </c>
      <c r="P200" s="85">
        <v>0.0</v>
      </c>
      <c r="Q200" s="85"/>
      <c r="R200" s="85"/>
    </row>
    <row r="201" ht="18.0" customHeight="1">
      <c r="A201" s="84">
        <v>194.0</v>
      </c>
      <c r="B201" s="85" t="s">
        <v>449</v>
      </c>
      <c r="C201" s="85" t="s">
        <v>55</v>
      </c>
      <c r="D201" s="85" t="s">
        <v>446</v>
      </c>
      <c r="E201" s="85" t="s">
        <v>57</v>
      </c>
      <c r="F201" s="85"/>
      <c r="G201" s="85"/>
      <c r="H201" s="85"/>
      <c r="I201" s="85"/>
      <c r="J201" s="85" t="s">
        <v>192</v>
      </c>
      <c r="K201" s="85" t="s">
        <v>81</v>
      </c>
      <c r="L201" s="85" t="s">
        <v>81</v>
      </c>
      <c r="M201" s="85" t="s">
        <v>81</v>
      </c>
      <c r="N201" s="85">
        <v>0.0</v>
      </c>
      <c r="O201" s="85">
        <v>0.0</v>
      </c>
      <c r="P201" s="85">
        <v>0.0</v>
      </c>
      <c r="Q201" s="85"/>
      <c r="R201" s="85"/>
    </row>
    <row r="202" ht="18.0" customHeight="1">
      <c r="A202" s="84">
        <v>195.0</v>
      </c>
      <c r="B202" s="85" t="s">
        <v>450</v>
      </c>
      <c r="C202" s="85" t="s">
        <v>55</v>
      </c>
      <c r="D202" s="85" t="s">
        <v>446</v>
      </c>
      <c r="E202" s="85" t="s">
        <v>57</v>
      </c>
      <c r="F202" s="84" t="s">
        <v>451</v>
      </c>
      <c r="G202" s="84" t="s">
        <v>452</v>
      </c>
      <c r="H202" s="85"/>
      <c r="I202" s="85"/>
      <c r="J202" s="85" t="s">
        <v>60</v>
      </c>
      <c r="K202" s="84" t="s">
        <v>311</v>
      </c>
      <c r="L202" s="85" t="s">
        <v>81</v>
      </c>
      <c r="M202" s="84" t="s">
        <v>311</v>
      </c>
      <c r="N202" s="85">
        <v>0.0</v>
      </c>
      <c r="O202" s="85">
        <v>0.0</v>
      </c>
      <c r="P202" s="84">
        <v>1.0</v>
      </c>
      <c r="Q202" s="87" t="s">
        <v>453</v>
      </c>
      <c r="R202" s="84" t="s">
        <v>63</v>
      </c>
    </row>
    <row r="203" ht="18.0" customHeight="1">
      <c r="A203" s="84">
        <v>196.0</v>
      </c>
      <c r="B203" s="85" t="s">
        <v>454</v>
      </c>
      <c r="C203" s="85" t="s">
        <v>55</v>
      </c>
      <c r="D203" s="85" t="s">
        <v>446</v>
      </c>
      <c r="E203" s="85" t="s">
        <v>57</v>
      </c>
      <c r="F203" s="85"/>
      <c r="G203" s="85"/>
      <c r="H203" s="85"/>
      <c r="I203" s="85"/>
      <c r="J203" s="85" t="s">
        <v>192</v>
      </c>
      <c r="K203" s="85" t="s">
        <v>81</v>
      </c>
      <c r="L203" s="85" t="s">
        <v>81</v>
      </c>
      <c r="M203" s="85" t="s">
        <v>81</v>
      </c>
      <c r="N203" s="85">
        <v>0.0</v>
      </c>
      <c r="O203" s="85">
        <v>0.0</v>
      </c>
      <c r="P203" s="85">
        <v>0.0</v>
      </c>
      <c r="Q203" s="85"/>
      <c r="R203" s="85"/>
    </row>
    <row r="204" ht="18.0" customHeight="1">
      <c r="A204" s="84">
        <v>197.0</v>
      </c>
      <c r="B204" s="85" t="s">
        <v>455</v>
      </c>
      <c r="C204" s="85" t="s">
        <v>55</v>
      </c>
      <c r="D204" s="85" t="s">
        <v>446</v>
      </c>
      <c r="E204" s="85" t="s">
        <v>57</v>
      </c>
      <c r="F204" s="85"/>
      <c r="G204" s="85"/>
      <c r="H204" s="85"/>
      <c r="I204" s="85"/>
      <c r="J204" s="85" t="s">
        <v>192</v>
      </c>
      <c r="K204" s="85" t="s">
        <v>81</v>
      </c>
      <c r="L204" s="85" t="s">
        <v>81</v>
      </c>
      <c r="M204" s="85" t="s">
        <v>81</v>
      </c>
      <c r="N204" s="85">
        <v>0.0</v>
      </c>
      <c r="O204" s="85">
        <v>0.0</v>
      </c>
      <c r="P204" s="85">
        <v>0.0</v>
      </c>
      <c r="Q204" s="85"/>
      <c r="R204" s="85"/>
    </row>
    <row r="205" ht="18.0" customHeight="1">
      <c r="A205" s="84">
        <v>198.0</v>
      </c>
      <c r="B205" s="85" t="s">
        <v>456</v>
      </c>
      <c r="C205" s="85" t="s">
        <v>55</v>
      </c>
      <c r="D205" s="85" t="s">
        <v>446</v>
      </c>
      <c r="E205" s="85" t="s">
        <v>57</v>
      </c>
      <c r="F205" s="85"/>
      <c r="G205" s="85"/>
      <c r="H205" s="85"/>
      <c r="I205" s="85"/>
      <c r="J205" s="85" t="s">
        <v>192</v>
      </c>
      <c r="K205" s="85" t="s">
        <v>81</v>
      </c>
      <c r="L205" s="85" t="s">
        <v>81</v>
      </c>
      <c r="M205" s="85" t="s">
        <v>81</v>
      </c>
      <c r="N205" s="85">
        <v>0.0</v>
      </c>
      <c r="O205" s="85">
        <v>0.0</v>
      </c>
      <c r="P205" s="85">
        <v>0.0</v>
      </c>
      <c r="Q205" s="85"/>
      <c r="R205" s="85"/>
    </row>
    <row r="206" ht="18.0" customHeight="1">
      <c r="A206" s="84">
        <v>199.0</v>
      </c>
      <c r="B206" s="85" t="s">
        <v>457</v>
      </c>
      <c r="C206" s="85" t="s">
        <v>55</v>
      </c>
      <c r="D206" s="85" t="s">
        <v>446</v>
      </c>
      <c r="E206" s="85" t="s">
        <v>57</v>
      </c>
      <c r="F206" s="85"/>
      <c r="G206" s="85"/>
      <c r="H206" s="85"/>
      <c r="I206" s="85"/>
      <c r="J206" s="85" t="s">
        <v>192</v>
      </c>
      <c r="K206" s="85" t="s">
        <v>81</v>
      </c>
      <c r="L206" s="85" t="s">
        <v>81</v>
      </c>
      <c r="M206" s="85" t="s">
        <v>81</v>
      </c>
      <c r="N206" s="85">
        <v>0.0</v>
      </c>
      <c r="O206" s="85">
        <v>0.0</v>
      </c>
      <c r="P206" s="85">
        <v>0.0</v>
      </c>
      <c r="Q206" s="85"/>
      <c r="R206" s="85"/>
    </row>
    <row r="207" ht="18.0" customHeight="1">
      <c r="A207" s="84">
        <v>200.0</v>
      </c>
      <c r="B207" s="85" t="s">
        <v>458</v>
      </c>
      <c r="C207" s="85" t="s">
        <v>55</v>
      </c>
      <c r="D207" s="85" t="s">
        <v>446</v>
      </c>
      <c r="E207" s="85" t="s">
        <v>57</v>
      </c>
      <c r="F207" s="85"/>
      <c r="G207" s="85"/>
      <c r="H207" s="85"/>
      <c r="I207" s="85"/>
      <c r="J207" s="85" t="s">
        <v>192</v>
      </c>
      <c r="K207" s="85" t="s">
        <v>81</v>
      </c>
      <c r="L207" s="85" t="s">
        <v>81</v>
      </c>
      <c r="M207" s="85" t="s">
        <v>81</v>
      </c>
      <c r="N207" s="85">
        <v>0.0</v>
      </c>
      <c r="O207" s="85">
        <v>0.0</v>
      </c>
      <c r="P207" s="85">
        <v>0.0</v>
      </c>
      <c r="Q207" s="85"/>
      <c r="R207" s="85"/>
    </row>
    <row r="208" ht="18.0" customHeight="1">
      <c r="A208" s="84">
        <v>201.0</v>
      </c>
      <c r="B208" s="85" t="s">
        <v>459</v>
      </c>
      <c r="C208" s="85" t="s">
        <v>65</v>
      </c>
      <c r="D208" s="85" t="s">
        <v>446</v>
      </c>
      <c r="E208" s="85" t="s">
        <v>57</v>
      </c>
      <c r="F208" s="85"/>
      <c r="G208" s="85"/>
      <c r="H208" s="85"/>
      <c r="I208" s="85"/>
      <c r="J208" s="85" t="s">
        <v>192</v>
      </c>
      <c r="K208" s="85" t="s">
        <v>81</v>
      </c>
      <c r="L208" s="85" t="s">
        <v>81</v>
      </c>
      <c r="M208" s="85" t="s">
        <v>81</v>
      </c>
      <c r="N208" s="85">
        <v>0.0</v>
      </c>
      <c r="O208" s="85">
        <v>0.0</v>
      </c>
      <c r="P208" s="85">
        <v>0.0</v>
      </c>
      <c r="Q208" s="85"/>
      <c r="R208" s="85"/>
    </row>
    <row r="209" ht="18.0" customHeight="1">
      <c r="A209" s="84">
        <v>202.0</v>
      </c>
      <c r="B209" s="85" t="s">
        <v>460</v>
      </c>
      <c r="C209" s="85" t="s">
        <v>65</v>
      </c>
      <c r="D209" s="85" t="s">
        <v>446</v>
      </c>
      <c r="E209" s="85" t="s">
        <v>57</v>
      </c>
      <c r="F209" s="85"/>
      <c r="G209" s="85"/>
      <c r="H209" s="85"/>
      <c r="I209" s="85"/>
      <c r="J209" s="85" t="s">
        <v>192</v>
      </c>
      <c r="K209" s="85" t="s">
        <v>81</v>
      </c>
      <c r="L209" s="85" t="s">
        <v>81</v>
      </c>
      <c r="M209" s="85" t="s">
        <v>81</v>
      </c>
      <c r="N209" s="85">
        <v>0.0</v>
      </c>
      <c r="O209" s="85">
        <v>0.0</v>
      </c>
      <c r="P209" s="85">
        <v>0.0</v>
      </c>
      <c r="Q209" s="85"/>
      <c r="R209" s="85"/>
    </row>
    <row r="210" ht="18.0" customHeight="1">
      <c r="A210" s="84">
        <v>203.0</v>
      </c>
      <c r="B210" s="85" t="s">
        <v>461</v>
      </c>
      <c r="C210" s="85" t="s">
        <v>65</v>
      </c>
      <c r="D210" s="85" t="s">
        <v>446</v>
      </c>
      <c r="E210" s="85" t="s">
        <v>57</v>
      </c>
      <c r="F210" s="85"/>
      <c r="G210" s="85"/>
      <c r="H210" s="85"/>
      <c r="I210" s="85"/>
      <c r="J210" s="85" t="s">
        <v>192</v>
      </c>
      <c r="K210" s="85" t="s">
        <v>81</v>
      </c>
      <c r="L210" s="85" t="s">
        <v>81</v>
      </c>
      <c r="M210" s="85" t="s">
        <v>81</v>
      </c>
      <c r="N210" s="85">
        <v>0.0</v>
      </c>
      <c r="O210" s="85">
        <v>0.0</v>
      </c>
      <c r="P210" s="85">
        <v>0.0</v>
      </c>
      <c r="Q210" s="85"/>
      <c r="R210" s="85"/>
    </row>
    <row r="211" ht="18.0" customHeight="1">
      <c r="A211" s="84">
        <v>204.0</v>
      </c>
      <c r="B211" s="85" t="s">
        <v>462</v>
      </c>
      <c r="C211" s="85" t="s">
        <v>65</v>
      </c>
      <c r="D211" s="85" t="s">
        <v>446</v>
      </c>
      <c r="E211" s="85" t="s">
        <v>57</v>
      </c>
      <c r="F211" s="85"/>
      <c r="G211" s="85"/>
      <c r="H211" s="85"/>
      <c r="I211" s="85"/>
      <c r="J211" s="85" t="s">
        <v>192</v>
      </c>
      <c r="K211" s="85" t="s">
        <v>81</v>
      </c>
      <c r="L211" s="85" t="s">
        <v>81</v>
      </c>
      <c r="M211" s="85" t="s">
        <v>81</v>
      </c>
      <c r="N211" s="85">
        <v>0.0</v>
      </c>
      <c r="O211" s="85">
        <v>0.0</v>
      </c>
      <c r="P211" s="85">
        <v>0.0</v>
      </c>
      <c r="Q211" s="85"/>
      <c r="R211" s="85"/>
    </row>
    <row r="212" ht="18.0" customHeight="1">
      <c r="A212" s="84">
        <v>205.0</v>
      </c>
      <c r="B212" s="85" t="s">
        <v>463</v>
      </c>
      <c r="C212" s="85" t="s">
        <v>65</v>
      </c>
      <c r="D212" s="85" t="s">
        <v>446</v>
      </c>
      <c r="E212" s="85" t="s">
        <v>57</v>
      </c>
      <c r="F212" s="84" t="s">
        <v>451</v>
      </c>
      <c r="G212" s="84" t="s">
        <v>452</v>
      </c>
      <c r="H212" s="85"/>
      <c r="I212" s="85"/>
      <c r="J212" s="85" t="s">
        <v>60</v>
      </c>
      <c r="K212" s="84" t="s">
        <v>311</v>
      </c>
      <c r="L212" s="85" t="s">
        <v>81</v>
      </c>
      <c r="M212" s="84" t="s">
        <v>311</v>
      </c>
      <c r="N212" s="85">
        <v>0.0</v>
      </c>
      <c r="O212" s="85">
        <v>0.0</v>
      </c>
      <c r="P212" s="84">
        <v>1.0</v>
      </c>
      <c r="Q212" s="87" t="s">
        <v>464</v>
      </c>
      <c r="R212" s="84" t="s">
        <v>63</v>
      </c>
    </row>
    <row r="213" ht="18.0" customHeight="1">
      <c r="A213" s="84">
        <v>206.0</v>
      </c>
      <c r="B213" s="85" t="s">
        <v>465</v>
      </c>
      <c r="C213" s="85" t="s">
        <v>65</v>
      </c>
      <c r="D213" s="85" t="s">
        <v>446</v>
      </c>
      <c r="E213" s="85" t="s">
        <v>57</v>
      </c>
      <c r="F213" s="85"/>
      <c r="G213" s="85"/>
      <c r="H213" s="85"/>
      <c r="I213" s="85"/>
      <c r="J213" s="85" t="s">
        <v>192</v>
      </c>
      <c r="K213" s="85" t="s">
        <v>81</v>
      </c>
      <c r="L213" s="85" t="s">
        <v>81</v>
      </c>
      <c r="M213" s="85" t="s">
        <v>81</v>
      </c>
      <c r="N213" s="85">
        <v>0.0</v>
      </c>
      <c r="O213" s="85">
        <v>0.0</v>
      </c>
      <c r="P213" s="85">
        <v>0.0</v>
      </c>
      <c r="Q213" s="85"/>
      <c r="R213" s="85"/>
    </row>
    <row r="214" ht="18.0" customHeight="1">
      <c r="A214" s="84">
        <v>207.0</v>
      </c>
      <c r="B214" s="85" t="s">
        <v>466</v>
      </c>
      <c r="C214" s="85" t="s">
        <v>65</v>
      </c>
      <c r="D214" s="85" t="s">
        <v>446</v>
      </c>
      <c r="E214" s="85" t="s">
        <v>57</v>
      </c>
      <c r="F214" s="85"/>
      <c r="G214" s="85"/>
      <c r="H214" s="85"/>
      <c r="I214" s="85"/>
      <c r="J214" s="85" t="s">
        <v>192</v>
      </c>
      <c r="K214" s="85" t="s">
        <v>81</v>
      </c>
      <c r="L214" s="85" t="s">
        <v>81</v>
      </c>
      <c r="M214" s="85" t="s">
        <v>81</v>
      </c>
      <c r="N214" s="85">
        <v>0.0</v>
      </c>
      <c r="O214" s="85">
        <v>0.0</v>
      </c>
      <c r="P214" s="85">
        <v>0.0</v>
      </c>
      <c r="Q214" s="85"/>
      <c r="R214" s="85"/>
    </row>
    <row r="215" ht="18.0" customHeight="1">
      <c r="A215" s="84">
        <v>208.0</v>
      </c>
      <c r="B215" s="85" t="s">
        <v>467</v>
      </c>
      <c r="C215" s="85" t="s">
        <v>65</v>
      </c>
      <c r="D215" s="85" t="s">
        <v>446</v>
      </c>
      <c r="E215" s="85" t="s">
        <v>57</v>
      </c>
      <c r="F215" s="85"/>
      <c r="G215" s="85"/>
      <c r="H215" s="85"/>
      <c r="I215" s="85"/>
      <c r="J215" s="85" t="s">
        <v>192</v>
      </c>
      <c r="K215" s="85" t="s">
        <v>81</v>
      </c>
      <c r="L215" s="85" t="s">
        <v>81</v>
      </c>
      <c r="M215" s="85" t="s">
        <v>81</v>
      </c>
      <c r="N215" s="85">
        <v>0.0</v>
      </c>
      <c r="O215" s="85">
        <v>0.0</v>
      </c>
      <c r="P215" s="85">
        <v>0.0</v>
      </c>
      <c r="Q215" s="85"/>
      <c r="R215" s="85"/>
    </row>
    <row r="216" ht="18.0" customHeight="1">
      <c r="A216" s="84">
        <v>209.0</v>
      </c>
      <c r="B216" s="85" t="s">
        <v>468</v>
      </c>
      <c r="C216" s="85" t="s">
        <v>65</v>
      </c>
      <c r="D216" s="85" t="s">
        <v>446</v>
      </c>
      <c r="E216" s="85" t="s">
        <v>57</v>
      </c>
      <c r="F216" s="85"/>
      <c r="G216" s="85"/>
      <c r="H216" s="85"/>
      <c r="I216" s="85"/>
      <c r="J216" s="85" t="s">
        <v>192</v>
      </c>
      <c r="K216" s="85" t="s">
        <v>81</v>
      </c>
      <c r="L216" s="85" t="s">
        <v>81</v>
      </c>
      <c r="M216" s="85" t="s">
        <v>81</v>
      </c>
      <c r="N216" s="85">
        <v>0.0</v>
      </c>
      <c r="O216" s="85">
        <v>0.0</v>
      </c>
      <c r="P216" s="85">
        <v>0.0</v>
      </c>
      <c r="Q216" s="85"/>
      <c r="R216" s="85"/>
    </row>
    <row r="217" ht="18.0" customHeight="1">
      <c r="A217" s="84">
        <v>210.0</v>
      </c>
      <c r="B217" s="85" t="s">
        <v>469</v>
      </c>
      <c r="C217" s="85" t="s">
        <v>65</v>
      </c>
      <c r="D217" s="85" t="s">
        <v>446</v>
      </c>
      <c r="E217" s="85" t="s">
        <v>57</v>
      </c>
      <c r="F217" s="85"/>
      <c r="G217" s="85"/>
      <c r="H217" s="85"/>
      <c r="I217" s="85"/>
      <c r="J217" s="85" t="s">
        <v>192</v>
      </c>
      <c r="K217" s="85" t="s">
        <v>81</v>
      </c>
      <c r="L217" s="85" t="s">
        <v>81</v>
      </c>
      <c r="M217" s="85" t="s">
        <v>81</v>
      </c>
      <c r="N217" s="85">
        <v>0.0</v>
      </c>
      <c r="O217" s="85">
        <v>0.0</v>
      </c>
      <c r="P217" s="85">
        <v>0.0</v>
      </c>
      <c r="Q217" s="85"/>
      <c r="R217" s="85"/>
    </row>
    <row r="218" ht="18.0" customHeight="1">
      <c r="A218" s="84">
        <v>211.0</v>
      </c>
      <c r="B218" s="85" t="s">
        <v>470</v>
      </c>
      <c r="C218" s="85" t="s">
        <v>69</v>
      </c>
      <c r="D218" s="85" t="s">
        <v>446</v>
      </c>
      <c r="E218" s="85" t="s">
        <v>57</v>
      </c>
      <c r="F218" s="85"/>
      <c r="G218" s="85"/>
      <c r="H218" s="85"/>
      <c r="I218" s="85"/>
      <c r="J218" s="85" t="s">
        <v>192</v>
      </c>
      <c r="K218" s="85" t="s">
        <v>81</v>
      </c>
      <c r="L218" s="85" t="s">
        <v>81</v>
      </c>
      <c r="M218" s="85" t="s">
        <v>81</v>
      </c>
      <c r="N218" s="85">
        <v>0.0</v>
      </c>
      <c r="O218" s="85">
        <v>0.0</v>
      </c>
      <c r="P218" s="85">
        <v>0.0</v>
      </c>
      <c r="Q218" s="85"/>
      <c r="R218" s="85"/>
    </row>
    <row r="219" ht="18.0" customHeight="1">
      <c r="A219" s="84">
        <v>212.0</v>
      </c>
      <c r="B219" s="85" t="s">
        <v>471</v>
      </c>
      <c r="C219" s="85" t="s">
        <v>69</v>
      </c>
      <c r="D219" s="85" t="s">
        <v>446</v>
      </c>
      <c r="E219" s="85" t="s">
        <v>57</v>
      </c>
      <c r="F219" s="85"/>
      <c r="G219" s="85"/>
      <c r="H219" s="85"/>
      <c r="I219" s="85"/>
      <c r="J219" s="85" t="s">
        <v>192</v>
      </c>
      <c r="K219" s="85" t="s">
        <v>81</v>
      </c>
      <c r="L219" s="85" t="s">
        <v>81</v>
      </c>
      <c r="M219" s="85" t="s">
        <v>81</v>
      </c>
      <c r="N219" s="85">
        <v>0.0</v>
      </c>
      <c r="O219" s="85">
        <v>0.0</v>
      </c>
      <c r="P219" s="85">
        <v>0.0</v>
      </c>
      <c r="Q219" s="85"/>
      <c r="R219" s="85"/>
    </row>
    <row r="220" ht="18.0" customHeight="1">
      <c r="A220" s="84">
        <v>213.0</v>
      </c>
      <c r="B220" s="85" t="s">
        <v>472</v>
      </c>
      <c r="C220" s="85" t="s">
        <v>69</v>
      </c>
      <c r="D220" s="85" t="s">
        <v>446</v>
      </c>
      <c r="E220" s="85" t="s">
        <v>57</v>
      </c>
      <c r="F220" s="85"/>
      <c r="G220" s="85"/>
      <c r="H220" s="85"/>
      <c r="I220" s="85"/>
      <c r="J220" s="85" t="s">
        <v>192</v>
      </c>
      <c r="K220" s="85" t="s">
        <v>81</v>
      </c>
      <c r="L220" s="85" t="s">
        <v>81</v>
      </c>
      <c r="M220" s="85" t="s">
        <v>81</v>
      </c>
      <c r="N220" s="85">
        <v>0.0</v>
      </c>
      <c r="O220" s="85">
        <v>0.0</v>
      </c>
      <c r="P220" s="85">
        <v>0.0</v>
      </c>
      <c r="Q220" s="85"/>
      <c r="R220" s="85"/>
    </row>
    <row r="221" ht="18.0" customHeight="1">
      <c r="A221" s="84">
        <v>214.0</v>
      </c>
      <c r="B221" s="85" t="s">
        <v>473</v>
      </c>
      <c r="C221" s="85" t="s">
        <v>69</v>
      </c>
      <c r="D221" s="85" t="s">
        <v>446</v>
      </c>
      <c r="E221" s="85" t="s">
        <v>57</v>
      </c>
      <c r="F221" s="85"/>
      <c r="G221" s="85"/>
      <c r="H221" s="85"/>
      <c r="I221" s="85"/>
      <c r="J221" s="85" t="s">
        <v>192</v>
      </c>
      <c r="K221" s="85" t="s">
        <v>81</v>
      </c>
      <c r="L221" s="85" t="s">
        <v>81</v>
      </c>
      <c r="M221" s="85" t="s">
        <v>81</v>
      </c>
      <c r="N221" s="85">
        <v>0.0</v>
      </c>
      <c r="O221" s="85">
        <v>0.0</v>
      </c>
      <c r="P221" s="85">
        <v>0.0</v>
      </c>
      <c r="Q221" s="85"/>
      <c r="R221" s="85"/>
    </row>
    <row r="222" ht="18.0" customHeight="1">
      <c r="A222" s="84">
        <v>215.0</v>
      </c>
      <c r="B222" s="85" t="s">
        <v>474</v>
      </c>
      <c r="C222" s="85" t="s">
        <v>69</v>
      </c>
      <c r="D222" s="85" t="s">
        <v>446</v>
      </c>
      <c r="E222" s="85" t="s">
        <v>57</v>
      </c>
      <c r="F222" s="84" t="s">
        <v>451</v>
      </c>
      <c r="G222" s="84" t="s">
        <v>452</v>
      </c>
      <c r="H222" s="85"/>
      <c r="I222" s="85"/>
      <c r="J222" s="85" t="s">
        <v>192</v>
      </c>
      <c r="K222" s="85" t="s">
        <v>81</v>
      </c>
      <c r="L222" s="85" t="s">
        <v>81</v>
      </c>
      <c r="M222" s="85" t="s">
        <v>81</v>
      </c>
      <c r="N222" s="85">
        <v>0.0</v>
      </c>
      <c r="O222" s="85">
        <v>0.0</v>
      </c>
      <c r="P222" s="85">
        <v>0.0</v>
      </c>
      <c r="Q222" s="84" t="s">
        <v>475</v>
      </c>
      <c r="R222" s="84" t="s">
        <v>63</v>
      </c>
    </row>
    <row r="223" ht="18.0" customHeight="1">
      <c r="A223" s="84">
        <v>216.0</v>
      </c>
      <c r="B223" s="85" t="s">
        <v>476</v>
      </c>
      <c r="C223" s="85" t="s">
        <v>69</v>
      </c>
      <c r="D223" s="85" t="s">
        <v>446</v>
      </c>
      <c r="E223" s="85" t="s">
        <v>57</v>
      </c>
      <c r="F223" s="85"/>
      <c r="G223" s="85"/>
      <c r="H223" s="85"/>
      <c r="I223" s="85"/>
      <c r="J223" s="85" t="s">
        <v>192</v>
      </c>
      <c r="K223" s="85" t="s">
        <v>81</v>
      </c>
      <c r="L223" s="85" t="s">
        <v>81</v>
      </c>
      <c r="M223" s="85" t="s">
        <v>81</v>
      </c>
      <c r="N223" s="85">
        <v>0.0</v>
      </c>
      <c r="O223" s="85">
        <v>0.0</v>
      </c>
      <c r="P223" s="85">
        <v>0.0</v>
      </c>
      <c r="Q223" s="85"/>
      <c r="R223" s="85"/>
    </row>
    <row r="224" ht="18.0" customHeight="1">
      <c r="A224" s="84">
        <v>217.0</v>
      </c>
      <c r="B224" s="85" t="s">
        <v>477</v>
      </c>
      <c r="C224" s="85" t="s">
        <v>69</v>
      </c>
      <c r="D224" s="85" t="s">
        <v>446</v>
      </c>
      <c r="E224" s="85" t="s">
        <v>57</v>
      </c>
      <c r="F224" s="85"/>
      <c r="G224" s="85"/>
      <c r="H224" s="85"/>
      <c r="I224" s="85"/>
      <c r="J224" s="85" t="s">
        <v>192</v>
      </c>
      <c r="K224" s="85" t="s">
        <v>81</v>
      </c>
      <c r="L224" s="85" t="s">
        <v>81</v>
      </c>
      <c r="M224" s="85" t="s">
        <v>81</v>
      </c>
      <c r="N224" s="85">
        <v>0.0</v>
      </c>
      <c r="O224" s="85">
        <v>0.0</v>
      </c>
      <c r="P224" s="85">
        <v>0.0</v>
      </c>
      <c r="Q224" s="85"/>
      <c r="R224" s="85"/>
    </row>
    <row r="225" ht="18.0" customHeight="1">
      <c r="A225" s="84">
        <v>218.0</v>
      </c>
      <c r="B225" s="85" t="s">
        <v>478</v>
      </c>
      <c r="C225" s="85" t="s">
        <v>69</v>
      </c>
      <c r="D225" s="85" t="s">
        <v>446</v>
      </c>
      <c r="E225" s="85" t="s">
        <v>57</v>
      </c>
      <c r="F225" s="85"/>
      <c r="G225" s="85"/>
      <c r="H225" s="85"/>
      <c r="I225" s="85"/>
      <c r="J225" s="85" t="s">
        <v>192</v>
      </c>
      <c r="K225" s="85" t="s">
        <v>81</v>
      </c>
      <c r="L225" s="85" t="s">
        <v>81</v>
      </c>
      <c r="M225" s="85" t="s">
        <v>81</v>
      </c>
      <c r="N225" s="85">
        <v>0.0</v>
      </c>
      <c r="O225" s="85">
        <v>0.0</v>
      </c>
      <c r="P225" s="85">
        <v>0.0</v>
      </c>
      <c r="Q225" s="85"/>
      <c r="R225" s="85"/>
    </row>
    <row r="226" ht="18.0" customHeight="1">
      <c r="A226" s="84">
        <v>219.0</v>
      </c>
      <c r="B226" s="85" t="s">
        <v>479</v>
      </c>
      <c r="C226" s="85" t="s">
        <v>69</v>
      </c>
      <c r="D226" s="85" t="s">
        <v>446</v>
      </c>
      <c r="E226" s="85" t="s">
        <v>57</v>
      </c>
      <c r="F226" s="85"/>
      <c r="G226" s="85"/>
      <c r="H226" s="85"/>
      <c r="I226" s="85"/>
      <c r="J226" s="85" t="s">
        <v>192</v>
      </c>
      <c r="K226" s="85" t="s">
        <v>81</v>
      </c>
      <c r="L226" s="85" t="s">
        <v>81</v>
      </c>
      <c r="M226" s="85" t="s">
        <v>81</v>
      </c>
      <c r="N226" s="85">
        <v>0.0</v>
      </c>
      <c r="O226" s="85">
        <v>0.0</v>
      </c>
      <c r="P226" s="85">
        <v>0.0</v>
      </c>
      <c r="Q226" s="85"/>
      <c r="R226" s="85"/>
    </row>
    <row r="227" ht="18.0" customHeight="1">
      <c r="A227" s="84">
        <v>220.0</v>
      </c>
      <c r="B227" s="85" t="s">
        <v>480</v>
      </c>
      <c r="C227" s="85" t="s">
        <v>69</v>
      </c>
      <c r="D227" s="85" t="s">
        <v>446</v>
      </c>
      <c r="E227" s="85" t="s">
        <v>57</v>
      </c>
      <c r="F227" s="85"/>
      <c r="G227" s="85"/>
      <c r="H227" s="85"/>
      <c r="I227" s="85"/>
      <c r="J227" s="85" t="s">
        <v>192</v>
      </c>
      <c r="K227" s="85" t="s">
        <v>81</v>
      </c>
      <c r="L227" s="85" t="s">
        <v>81</v>
      </c>
      <c r="M227" s="85" t="s">
        <v>81</v>
      </c>
      <c r="N227" s="85">
        <v>0.0</v>
      </c>
      <c r="O227" s="85">
        <v>0.0</v>
      </c>
      <c r="P227" s="85">
        <v>0.0</v>
      </c>
      <c r="Q227" s="85"/>
      <c r="R227" s="85"/>
    </row>
    <row r="228" ht="18.0" customHeight="1">
      <c r="A228" s="84">
        <v>221.0</v>
      </c>
      <c r="B228" s="85" t="s">
        <v>481</v>
      </c>
      <c r="C228" s="85" t="s">
        <v>72</v>
      </c>
      <c r="D228" s="85" t="s">
        <v>446</v>
      </c>
      <c r="E228" s="85" t="s">
        <v>57</v>
      </c>
      <c r="F228" s="85"/>
      <c r="G228" s="85"/>
      <c r="H228" s="85"/>
      <c r="I228" s="85"/>
      <c r="J228" s="85" t="s">
        <v>192</v>
      </c>
      <c r="K228" s="85" t="s">
        <v>81</v>
      </c>
      <c r="L228" s="85" t="s">
        <v>81</v>
      </c>
      <c r="M228" s="85" t="s">
        <v>81</v>
      </c>
      <c r="N228" s="85">
        <v>0.0</v>
      </c>
      <c r="O228" s="85">
        <v>0.0</v>
      </c>
      <c r="P228" s="85">
        <v>0.0</v>
      </c>
      <c r="Q228" s="85"/>
      <c r="R228" s="85"/>
    </row>
    <row r="229" ht="18.0" customHeight="1">
      <c r="A229" s="84">
        <v>222.0</v>
      </c>
      <c r="B229" s="85" t="s">
        <v>482</v>
      </c>
      <c r="C229" s="85" t="s">
        <v>72</v>
      </c>
      <c r="D229" s="85" t="s">
        <v>446</v>
      </c>
      <c r="E229" s="85" t="s">
        <v>57</v>
      </c>
      <c r="F229" s="85"/>
      <c r="G229" s="85"/>
      <c r="H229" s="85"/>
      <c r="I229" s="85"/>
      <c r="J229" s="85" t="s">
        <v>192</v>
      </c>
      <c r="K229" s="85" t="s">
        <v>81</v>
      </c>
      <c r="L229" s="85" t="s">
        <v>81</v>
      </c>
      <c r="M229" s="85" t="s">
        <v>81</v>
      </c>
      <c r="N229" s="85">
        <v>0.0</v>
      </c>
      <c r="O229" s="85">
        <v>0.0</v>
      </c>
      <c r="P229" s="85">
        <v>0.0</v>
      </c>
      <c r="Q229" s="85"/>
      <c r="R229" s="85"/>
    </row>
    <row r="230" ht="18.0" customHeight="1">
      <c r="A230" s="84">
        <v>223.0</v>
      </c>
      <c r="B230" s="85" t="s">
        <v>483</v>
      </c>
      <c r="C230" s="85" t="s">
        <v>72</v>
      </c>
      <c r="D230" s="85" t="s">
        <v>446</v>
      </c>
      <c r="E230" s="85" t="s">
        <v>57</v>
      </c>
      <c r="F230" s="85"/>
      <c r="G230" s="85"/>
      <c r="H230" s="85"/>
      <c r="I230" s="85"/>
      <c r="J230" s="85" t="s">
        <v>192</v>
      </c>
      <c r="K230" s="85" t="s">
        <v>81</v>
      </c>
      <c r="L230" s="85" t="s">
        <v>81</v>
      </c>
      <c r="M230" s="85" t="s">
        <v>81</v>
      </c>
      <c r="N230" s="85">
        <v>0.0</v>
      </c>
      <c r="O230" s="85">
        <v>0.0</v>
      </c>
      <c r="P230" s="85">
        <v>0.0</v>
      </c>
      <c r="Q230" s="85"/>
      <c r="R230" s="85"/>
    </row>
    <row r="231" ht="18.0" customHeight="1">
      <c r="A231" s="84">
        <v>224.0</v>
      </c>
      <c r="B231" s="85" t="s">
        <v>484</v>
      </c>
      <c r="C231" s="85" t="s">
        <v>72</v>
      </c>
      <c r="D231" s="85" t="s">
        <v>446</v>
      </c>
      <c r="E231" s="85" t="s">
        <v>57</v>
      </c>
      <c r="F231" s="85"/>
      <c r="G231" s="85"/>
      <c r="H231" s="85"/>
      <c r="I231" s="85"/>
      <c r="J231" s="85" t="s">
        <v>192</v>
      </c>
      <c r="K231" s="85" t="s">
        <v>81</v>
      </c>
      <c r="L231" s="85" t="s">
        <v>81</v>
      </c>
      <c r="M231" s="85" t="s">
        <v>81</v>
      </c>
      <c r="N231" s="85">
        <v>0.0</v>
      </c>
      <c r="O231" s="85">
        <v>0.0</v>
      </c>
      <c r="P231" s="85">
        <v>0.0</v>
      </c>
      <c r="Q231" s="85"/>
      <c r="R231" s="85"/>
    </row>
    <row r="232" ht="18.0" customHeight="1">
      <c r="A232" s="84">
        <v>225.0</v>
      </c>
      <c r="B232" s="85" t="s">
        <v>485</v>
      </c>
      <c r="C232" s="85" t="s">
        <v>72</v>
      </c>
      <c r="D232" s="85" t="s">
        <v>446</v>
      </c>
      <c r="E232" s="85" t="s">
        <v>57</v>
      </c>
      <c r="F232" s="84" t="s">
        <v>451</v>
      </c>
      <c r="G232" s="84" t="s">
        <v>452</v>
      </c>
      <c r="H232" s="85"/>
      <c r="I232" s="85"/>
      <c r="J232" s="85" t="s">
        <v>60</v>
      </c>
      <c r="K232" s="84" t="s">
        <v>311</v>
      </c>
      <c r="L232" s="85" t="s">
        <v>81</v>
      </c>
      <c r="M232" s="84" t="s">
        <v>311</v>
      </c>
      <c r="N232" s="85">
        <v>0.0</v>
      </c>
      <c r="O232" s="85">
        <v>0.0</v>
      </c>
      <c r="P232" s="85">
        <v>0.0</v>
      </c>
      <c r="Q232" s="87" t="s">
        <v>486</v>
      </c>
      <c r="R232" s="84" t="s">
        <v>63</v>
      </c>
    </row>
    <row r="233" ht="18.0" customHeight="1">
      <c r="A233" s="84">
        <v>226.0</v>
      </c>
      <c r="B233" s="85" t="s">
        <v>487</v>
      </c>
      <c r="C233" s="85" t="s">
        <v>72</v>
      </c>
      <c r="D233" s="85" t="s">
        <v>446</v>
      </c>
      <c r="E233" s="85" t="s">
        <v>57</v>
      </c>
      <c r="F233" s="85"/>
      <c r="G233" s="85"/>
      <c r="H233" s="85"/>
      <c r="I233" s="85"/>
      <c r="J233" s="85" t="s">
        <v>192</v>
      </c>
      <c r="K233" s="85" t="s">
        <v>81</v>
      </c>
      <c r="L233" s="85" t="s">
        <v>81</v>
      </c>
      <c r="M233" s="85" t="s">
        <v>81</v>
      </c>
      <c r="N233" s="85">
        <v>0.0</v>
      </c>
      <c r="O233" s="85">
        <v>0.0</v>
      </c>
      <c r="P233" s="85">
        <v>0.0</v>
      </c>
      <c r="Q233" s="84"/>
      <c r="R233" s="85"/>
    </row>
    <row r="234" ht="18.0" customHeight="1">
      <c r="A234" s="84">
        <v>227.0</v>
      </c>
      <c r="B234" s="85" t="s">
        <v>488</v>
      </c>
      <c r="C234" s="85" t="s">
        <v>72</v>
      </c>
      <c r="D234" s="85" t="s">
        <v>446</v>
      </c>
      <c r="E234" s="85" t="s">
        <v>57</v>
      </c>
      <c r="F234" s="85"/>
      <c r="G234" s="85"/>
      <c r="H234" s="85"/>
      <c r="I234" s="85"/>
      <c r="J234" s="85" t="s">
        <v>192</v>
      </c>
      <c r="K234" s="85" t="s">
        <v>81</v>
      </c>
      <c r="L234" s="85" t="s">
        <v>81</v>
      </c>
      <c r="M234" s="85" t="s">
        <v>81</v>
      </c>
      <c r="N234" s="85">
        <v>0.0</v>
      </c>
      <c r="O234" s="85">
        <v>0.0</v>
      </c>
      <c r="P234" s="85">
        <v>0.0</v>
      </c>
      <c r="Q234" s="85"/>
      <c r="R234" s="85"/>
    </row>
    <row r="235" ht="18.0" customHeight="1">
      <c r="A235" s="84">
        <v>228.0</v>
      </c>
      <c r="B235" s="85" t="s">
        <v>489</v>
      </c>
      <c r="C235" s="85" t="s">
        <v>72</v>
      </c>
      <c r="D235" s="85" t="s">
        <v>446</v>
      </c>
      <c r="E235" s="85" t="s">
        <v>57</v>
      </c>
      <c r="F235" s="85"/>
      <c r="G235" s="85"/>
      <c r="H235" s="85"/>
      <c r="I235" s="85"/>
      <c r="J235" s="85" t="s">
        <v>192</v>
      </c>
      <c r="K235" s="85" t="s">
        <v>81</v>
      </c>
      <c r="L235" s="85" t="s">
        <v>81</v>
      </c>
      <c r="M235" s="85" t="s">
        <v>81</v>
      </c>
      <c r="N235" s="85">
        <v>0.0</v>
      </c>
      <c r="O235" s="85">
        <v>0.0</v>
      </c>
      <c r="P235" s="85">
        <v>0.0</v>
      </c>
      <c r="Q235" s="85"/>
      <c r="R235" s="85"/>
    </row>
    <row r="236" ht="18.0" customHeight="1">
      <c r="A236" s="84">
        <v>229.0</v>
      </c>
      <c r="B236" s="85" t="s">
        <v>490</v>
      </c>
      <c r="C236" s="85" t="s">
        <v>72</v>
      </c>
      <c r="D236" s="85" t="s">
        <v>446</v>
      </c>
      <c r="E236" s="85" t="s">
        <v>57</v>
      </c>
      <c r="F236" s="85"/>
      <c r="G236" s="85"/>
      <c r="H236" s="85"/>
      <c r="I236" s="85"/>
      <c r="J236" s="85" t="s">
        <v>192</v>
      </c>
      <c r="K236" s="85" t="s">
        <v>81</v>
      </c>
      <c r="L236" s="85" t="s">
        <v>81</v>
      </c>
      <c r="M236" s="85" t="s">
        <v>81</v>
      </c>
      <c r="N236" s="85">
        <v>0.0</v>
      </c>
      <c r="O236" s="85">
        <v>0.0</v>
      </c>
      <c r="P236" s="85">
        <v>0.0</v>
      </c>
      <c r="Q236" s="85"/>
      <c r="R236" s="85"/>
    </row>
    <row r="237" ht="18.0" customHeight="1">
      <c r="A237" s="84">
        <v>230.0</v>
      </c>
      <c r="B237" s="85" t="s">
        <v>491</v>
      </c>
      <c r="C237" s="85" t="s">
        <v>72</v>
      </c>
      <c r="D237" s="85" t="s">
        <v>446</v>
      </c>
      <c r="E237" s="85" t="s">
        <v>57</v>
      </c>
      <c r="F237" s="85"/>
      <c r="G237" s="85"/>
      <c r="H237" s="85"/>
      <c r="I237" s="85"/>
      <c r="J237" s="85" t="s">
        <v>192</v>
      </c>
      <c r="K237" s="85" t="s">
        <v>81</v>
      </c>
      <c r="L237" s="85" t="s">
        <v>81</v>
      </c>
      <c r="M237" s="85" t="s">
        <v>81</v>
      </c>
      <c r="N237" s="85">
        <v>0.0</v>
      </c>
      <c r="O237" s="85">
        <v>0.0</v>
      </c>
      <c r="P237" s="85">
        <v>0.0</v>
      </c>
      <c r="Q237" s="85"/>
      <c r="R237" s="85"/>
    </row>
    <row r="238" ht="15.75" customHeight="1">
      <c r="A238" s="84">
        <v>231.0</v>
      </c>
      <c r="B238" s="85" t="s">
        <v>481</v>
      </c>
      <c r="C238" s="84" t="s">
        <v>75</v>
      </c>
      <c r="D238" s="85" t="s">
        <v>446</v>
      </c>
      <c r="E238" s="85" t="s">
        <v>57</v>
      </c>
      <c r="F238" s="85"/>
      <c r="G238" s="85"/>
      <c r="H238" s="85"/>
      <c r="I238" s="85"/>
      <c r="J238" s="85" t="s">
        <v>192</v>
      </c>
      <c r="K238" s="85" t="s">
        <v>81</v>
      </c>
      <c r="L238" s="85" t="s">
        <v>81</v>
      </c>
      <c r="M238" s="85" t="s">
        <v>81</v>
      </c>
      <c r="N238" s="85">
        <v>0.0</v>
      </c>
      <c r="O238" s="85">
        <v>0.0</v>
      </c>
      <c r="P238" s="85">
        <v>0.0</v>
      </c>
      <c r="Q238" s="85"/>
      <c r="R238" s="85"/>
    </row>
    <row r="239" ht="15.75" customHeight="1">
      <c r="A239" s="84">
        <v>232.0</v>
      </c>
      <c r="B239" s="85" t="s">
        <v>482</v>
      </c>
      <c r="C239" s="84" t="s">
        <v>75</v>
      </c>
      <c r="D239" s="85" t="s">
        <v>446</v>
      </c>
      <c r="E239" s="85" t="s">
        <v>57</v>
      </c>
      <c r="F239" s="85"/>
      <c r="G239" s="85"/>
      <c r="H239" s="85"/>
      <c r="I239" s="85"/>
      <c r="J239" s="85" t="s">
        <v>192</v>
      </c>
      <c r="K239" s="85" t="s">
        <v>81</v>
      </c>
      <c r="L239" s="85" t="s">
        <v>81</v>
      </c>
      <c r="M239" s="85" t="s">
        <v>81</v>
      </c>
      <c r="N239" s="85">
        <v>0.0</v>
      </c>
      <c r="O239" s="85">
        <v>0.0</v>
      </c>
      <c r="P239" s="85">
        <v>0.0</v>
      </c>
      <c r="Q239" s="85"/>
      <c r="R239" s="85"/>
    </row>
    <row r="240" ht="15.75" customHeight="1">
      <c r="A240" s="84">
        <v>233.0</v>
      </c>
      <c r="B240" s="85" t="s">
        <v>483</v>
      </c>
      <c r="C240" s="84" t="s">
        <v>75</v>
      </c>
      <c r="D240" s="85" t="s">
        <v>446</v>
      </c>
      <c r="E240" s="85" t="s">
        <v>57</v>
      </c>
      <c r="F240" s="85"/>
      <c r="G240" s="85"/>
      <c r="H240" s="85"/>
      <c r="I240" s="85"/>
      <c r="J240" s="85" t="s">
        <v>192</v>
      </c>
      <c r="K240" s="85" t="s">
        <v>81</v>
      </c>
      <c r="L240" s="85" t="s">
        <v>81</v>
      </c>
      <c r="M240" s="85" t="s">
        <v>81</v>
      </c>
      <c r="N240" s="85">
        <v>0.0</v>
      </c>
      <c r="O240" s="85">
        <v>0.0</v>
      </c>
      <c r="P240" s="85">
        <v>0.0</v>
      </c>
      <c r="Q240" s="85"/>
      <c r="R240" s="85"/>
    </row>
    <row r="241" ht="15.75" customHeight="1">
      <c r="A241" s="84">
        <v>234.0</v>
      </c>
      <c r="B241" s="85" t="s">
        <v>484</v>
      </c>
      <c r="C241" s="84" t="s">
        <v>75</v>
      </c>
      <c r="D241" s="85" t="s">
        <v>446</v>
      </c>
      <c r="E241" s="85" t="s">
        <v>57</v>
      </c>
      <c r="F241" s="85"/>
      <c r="G241" s="85"/>
      <c r="H241" s="85"/>
      <c r="I241" s="85"/>
      <c r="J241" s="85" t="s">
        <v>192</v>
      </c>
      <c r="K241" s="85" t="s">
        <v>81</v>
      </c>
      <c r="L241" s="85" t="s">
        <v>81</v>
      </c>
      <c r="M241" s="85" t="s">
        <v>81</v>
      </c>
      <c r="N241" s="85">
        <v>0.0</v>
      </c>
      <c r="O241" s="85">
        <v>0.0</v>
      </c>
      <c r="P241" s="85">
        <v>0.0</v>
      </c>
      <c r="Q241" s="85"/>
      <c r="R241" s="85"/>
    </row>
    <row r="242" ht="15.75" customHeight="1">
      <c r="A242" s="84">
        <v>235.0</v>
      </c>
      <c r="B242" s="85" t="s">
        <v>485</v>
      </c>
      <c r="C242" s="84" t="s">
        <v>75</v>
      </c>
      <c r="D242" s="85" t="s">
        <v>446</v>
      </c>
      <c r="E242" s="85" t="s">
        <v>57</v>
      </c>
      <c r="F242" s="84" t="s">
        <v>451</v>
      </c>
      <c r="G242" s="84" t="s">
        <v>452</v>
      </c>
      <c r="H242" s="85"/>
      <c r="I242" s="85"/>
      <c r="J242" s="85" t="s">
        <v>60</v>
      </c>
      <c r="K242" s="84" t="s">
        <v>311</v>
      </c>
      <c r="L242" s="85" t="s">
        <v>81</v>
      </c>
      <c r="M242" s="84" t="s">
        <v>311</v>
      </c>
      <c r="N242" s="85">
        <v>0.0</v>
      </c>
      <c r="O242" s="85">
        <v>0.0</v>
      </c>
      <c r="P242" s="84">
        <v>1.0</v>
      </c>
      <c r="Q242" s="87" t="s">
        <v>492</v>
      </c>
      <c r="R242" s="84" t="s">
        <v>63</v>
      </c>
    </row>
    <row r="243" ht="15.75" customHeight="1">
      <c r="A243" s="84">
        <v>236.0</v>
      </c>
      <c r="B243" s="85" t="s">
        <v>487</v>
      </c>
      <c r="C243" s="84" t="s">
        <v>75</v>
      </c>
      <c r="D243" s="85" t="s">
        <v>446</v>
      </c>
      <c r="E243" s="85" t="s">
        <v>57</v>
      </c>
      <c r="F243" s="85"/>
      <c r="G243" s="85"/>
      <c r="H243" s="85"/>
      <c r="I243" s="85"/>
      <c r="J243" s="85" t="s">
        <v>192</v>
      </c>
      <c r="K243" s="85" t="s">
        <v>81</v>
      </c>
      <c r="L243" s="85" t="s">
        <v>81</v>
      </c>
      <c r="M243" s="85" t="s">
        <v>81</v>
      </c>
      <c r="N243" s="85">
        <v>0.0</v>
      </c>
      <c r="O243" s="85">
        <v>0.0</v>
      </c>
      <c r="P243" s="85">
        <v>0.0</v>
      </c>
      <c r="Q243" s="85"/>
      <c r="R243" s="85"/>
    </row>
    <row r="244" ht="15.75" customHeight="1">
      <c r="A244" s="84">
        <v>237.0</v>
      </c>
      <c r="B244" s="85" t="s">
        <v>488</v>
      </c>
      <c r="C244" s="84" t="s">
        <v>75</v>
      </c>
      <c r="D244" s="85" t="s">
        <v>446</v>
      </c>
      <c r="E244" s="85" t="s">
        <v>57</v>
      </c>
      <c r="F244" s="85"/>
      <c r="G244" s="85"/>
      <c r="H244" s="85"/>
      <c r="I244" s="85"/>
      <c r="J244" s="85" t="s">
        <v>192</v>
      </c>
      <c r="K244" s="85" t="s">
        <v>81</v>
      </c>
      <c r="L244" s="85" t="s">
        <v>81</v>
      </c>
      <c r="M244" s="85" t="s">
        <v>81</v>
      </c>
      <c r="N244" s="85">
        <v>0.0</v>
      </c>
      <c r="O244" s="85">
        <v>0.0</v>
      </c>
      <c r="P244" s="85">
        <v>0.0</v>
      </c>
      <c r="Q244" s="85"/>
      <c r="R244" s="85"/>
    </row>
    <row r="245" ht="15.75" customHeight="1">
      <c r="A245" s="84">
        <v>238.0</v>
      </c>
      <c r="B245" s="85" t="s">
        <v>489</v>
      </c>
      <c r="C245" s="84" t="s">
        <v>75</v>
      </c>
      <c r="D245" s="85" t="s">
        <v>446</v>
      </c>
      <c r="E245" s="85" t="s">
        <v>57</v>
      </c>
      <c r="F245" s="85"/>
      <c r="G245" s="85"/>
      <c r="H245" s="85"/>
      <c r="I245" s="85"/>
      <c r="J245" s="85" t="s">
        <v>192</v>
      </c>
      <c r="K245" s="85" t="s">
        <v>81</v>
      </c>
      <c r="L245" s="85" t="s">
        <v>81</v>
      </c>
      <c r="M245" s="85" t="s">
        <v>81</v>
      </c>
      <c r="N245" s="85">
        <v>0.0</v>
      </c>
      <c r="O245" s="85">
        <v>0.0</v>
      </c>
      <c r="P245" s="85">
        <v>0.0</v>
      </c>
      <c r="Q245" s="85"/>
      <c r="R245" s="85"/>
    </row>
    <row r="246" ht="15.75" customHeight="1">
      <c r="A246" s="84">
        <v>239.0</v>
      </c>
      <c r="B246" s="85" t="s">
        <v>490</v>
      </c>
      <c r="C246" s="84" t="s">
        <v>75</v>
      </c>
      <c r="D246" s="85" t="s">
        <v>446</v>
      </c>
      <c r="E246" s="85" t="s">
        <v>57</v>
      </c>
      <c r="F246" s="85"/>
      <c r="G246" s="85"/>
      <c r="H246" s="85"/>
      <c r="I246" s="85"/>
      <c r="J246" s="85" t="s">
        <v>192</v>
      </c>
      <c r="K246" s="85" t="s">
        <v>81</v>
      </c>
      <c r="L246" s="85" t="s">
        <v>81</v>
      </c>
      <c r="M246" s="85" t="s">
        <v>81</v>
      </c>
      <c r="N246" s="85">
        <v>0.0</v>
      </c>
      <c r="O246" s="85">
        <v>0.0</v>
      </c>
      <c r="P246" s="85">
        <v>0.0</v>
      </c>
      <c r="Q246" s="85"/>
      <c r="R246" s="85"/>
    </row>
    <row r="247" ht="15.75" customHeight="1">
      <c r="A247" s="84">
        <v>240.0</v>
      </c>
      <c r="B247" s="85" t="s">
        <v>491</v>
      </c>
      <c r="C247" s="84" t="s">
        <v>75</v>
      </c>
      <c r="D247" s="85" t="s">
        <v>446</v>
      </c>
      <c r="E247" s="85" t="s">
        <v>57</v>
      </c>
      <c r="F247" s="85"/>
      <c r="G247" s="85"/>
      <c r="H247" s="85"/>
      <c r="I247" s="85"/>
      <c r="J247" s="85" t="s">
        <v>192</v>
      </c>
      <c r="K247" s="85" t="s">
        <v>81</v>
      </c>
      <c r="L247" s="85" t="s">
        <v>81</v>
      </c>
      <c r="M247" s="85" t="s">
        <v>81</v>
      </c>
      <c r="N247" s="85">
        <v>0.0</v>
      </c>
      <c r="O247" s="85">
        <v>0.0</v>
      </c>
      <c r="P247" s="85">
        <v>0.0</v>
      </c>
      <c r="Q247" s="85"/>
      <c r="R247" s="8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mergeCells count="2">
    <mergeCell ref="A1:R1"/>
    <mergeCell ref="A2:R2"/>
  </mergeCells>
  <hyperlinks>
    <hyperlink r:id="rId1" ref="Q5"/>
    <hyperlink r:id="rId2" ref="Q6"/>
    <hyperlink r:id="rId3" ref="Q7"/>
    <hyperlink r:id="rId4" ref="Q8"/>
    <hyperlink r:id="rId5" ref="Q9"/>
    <hyperlink r:id="rId6" ref="Q11"/>
    <hyperlink r:id="rId7" ref="Q12"/>
    <hyperlink r:id="rId8" ref="Q13"/>
    <hyperlink r:id="rId9" ref="Q14"/>
    <hyperlink r:id="rId10" ref="Q15"/>
    <hyperlink r:id="rId11" ref="F16"/>
    <hyperlink r:id="rId12" ref="Q23"/>
    <hyperlink r:id="rId13" ref="Q24"/>
    <hyperlink r:id="rId14" ref="Q25"/>
    <hyperlink r:id="rId15" ref="Q26"/>
    <hyperlink r:id="rId16" ref="Q27"/>
    <hyperlink r:id="rId17" ref="Q29"/>
    <hyperlink r:id="rId18" ref="Q31"/>
    <hyperlink r:id="rId19" ref="Q32"/>
    <hyperlink r:id="rId20" ref="Q34"/>
    <hyperlink r:id="rId21" ref="Q35"/>
    <hyperlink r:id="rId22" ref="Q36"/>
    <hyperlink r:id="rId23" ref="Q37"/>
    <hyperlink r:id="rId24" ref="Q38"/>
    <hyperlink r:id="rId25" ref="Q39"/>
    <hyperlink r:id="rId26" ref="Q41"/>
    <hyperlink r:id="rId27" ref="Q42"/>
    <hyperlink r:id="rId28" ref="Q43"/>
    <hyperlink r:id="rId29" ref="Q45"/>
    <hyperlink r:id="rId30" ref="Q46"/>
    <hyperlink r:id="rId31" ref="Q50"/>
    <hyperlink r:id="rId32" ref="Q52"/>
    <hyperlink r:id="rId33" ref="Q54"/>
    <hyperlink r:id="rId34" ref="Q55"/>
    <hyperlink r:id="rId35" ref="Q57"/>
    <hyperlink r:id="rId36" ref="Q59"/>
    <hyperlink r:id="rId37" ref="Q60"/>
    <hyperlink r:id="rId38" ref="Q62"/>
    <hyperlink r:id="rId39" ref="Q63"/>
    <hyperlink r:id="rId40" ref="Q64"/>
    <hyperlink r:id="rId41" ref="Q65"/>
    <hyperlink r:id="rId42" ref="Q66"/>
    <hyperlink r:id="rId43" ref="Q67"/>
    <hyperlink r:id="rId44" ref="Q69"/>
    <hyperlink r:id="rId45" ref="Q80"/>
    <hyperlink r:id="rId46" ref="Q83"/>
    <hyperlink r:id="rId47" ref="Q84"/>
    <hyperlink r:id="rId48" ref="Q85"/>
    <hyperlink r:id="rId49" ref="Q87"/>
    <hyperlink r:id="rId50" ref="Q88"/>
    <hyperlink r:id="rId51" ref="Q90"/>
    <hyperlink r:id="rId52" ref="Q91"/>
    <hyperlink r:id="rId53" ref="Q92"/>
    <hyperlink r:id="rId54" ref="Q93"/>
    <hyperlink r:id="rId55" ref="Q95"/>
    <hyperlink r:id="rId56" ref="Q98"/>
    <hyperlink r:id="rId57" ref="Q99"/>
    <hyperlink r:id="rId58" ref="Q101"/>
    <hyperlink r:id="rId59" ref="Q103"/>
    <hyperlink r:id="rId60" ref="Q106"/>
    <hyperlink r:id="rId61" ref="Q107"/>
    <hyperlink r:id="rId62" ref="Q108"/>
    <hyperlink r:id="rId63" ref="Q117"/>
    <hyperlink r:id="rId64" ref="Q118"/>
    <hyperlink r:id="rId65" ref="Q119"/>
    <hyperlink r:id="rId66" ref="Q120"/>
    <hyperlink r:id="rId67" ref="Q121"/>
    <hyperlink r:id="rId68" ref="Q124"/>
    <hyperlink r:id="rId69" ref="Q125"/>
    <hyperlink r:id="rId70" ref="Q126"/>
    <hyperlink r:id="rId71" ref="Q137"/>
    <hyperlink r:id="rId72" ref="Q138"/>
    <hyperlink r:id="rId73" ref="Q139"/>
    <hyperlink r:id="rId74" ref="Q140"/>
    <hyperlink r:id="rId75" ref="Q141"/>
    <hyperlink r:id="rId76" ref="Q143"/>
    <hyperlink r:id="rId77" ref="Q146"/>
    <hyperlink r:id="rId78" ref="Q157"/>
    <hyperlink r:id="rId79" ref="Q158"/>
    <hyperlink r:id="rId80" ref="Q159"/>
    <hyperlink r:id="rId81" ref="Q160"/>
    <hyperlink r:id="rId82" ref="Q163"/>
    <hyperlink r:id="rId83" ref="Q164"/>
    <hyperlink r:id="rId84" ref="Q177"/>
    <hyperlink r:id="rId85" ref="Q183"/>
    <hyperlink r:id="rId86" ref="Q202"/>
    <hyperlink r:id="rId87" ref="Q212"/>
    <hyperlink r:id="rId88" ref="Q232"/>
    <hyperlink r:id="rId89" ref="Q242"/>
  </hyperlinks>
  <printOptions/>
  <pageMargins bottom="1.0" footer="0.0" header="0.0" left="0.75" right="0.75" top="1.0"/>
  <pageSetup orientation="landscape"/>
  <drawing r:id="rId9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12.0"/>
    <col customWidth="1" min="4" max="4" width="13.0"/>
    <col customWidth="1" min="5" max="5" width="16.0"/>
    <col customWidth="1" min="6" max="8" width="9.0"/>
    <col customWidth="1" min="9" max="9" width="12.0"/>
    <col customWidth="1" min="10" max="11" width="11.0"/>
    <col customWidth="1" min="12" max="12" width="10.0"/>
    <col customWidth="1" min="13" max="13" width="12.0"/>
    <col customWidth="1" min="14" max="14" width="14.0"/>
    <col customWidth="1" min="15" max="15" width="13.0"/>
    <col customWidth="1" min="16" max="16" width="11.0"/>
    <col customWidth="1" min="17" max="17" width="13.0"/>
    <col customWidth="1" min="18" max="18" width="14.0"/>
    <col customWidth="1" min="19" max="19" width="20.0"/>
    <col customWidth="1" min="20" max="26" width="8.71"/>
  </cols>
  <sheetData>
    <row r="1" ht="39.75" customHeight="1">
      <c r="A1" s="25" t="s">
        <v>493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1.75" customHeight="1">
      <c r="A2" s="26" t="s">
        <v>494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27.75" customHeight="1">
      <c r="A3" s="6" t="s">
        <v>495</v>
      </c>
      <c r="B3" s="88">
        <v>1.0</v>
      </c>
      <c r="C3" s="6" t="s">
        <v>496</v>
      </c>
      <c r="D3" s="88" t="s">
        <v>497</v>
      </c>
      <c r="F3" s="6" t="s">
        <v>52</v>
      </c>
      <c r="G3" s="88"/>
      <c r="I3" s="6" t="s">
        <v>498</v>
      </c>
      <c r="J3" s="88"/>
      <c r="L3" s="6" t="s">
        <v>499</v>
      </c>
      <c r="M3" s="88">
        <v>1.0</v>
      </c>
      <c r="N3" s="6" t="s">
        <v>500</v>
      </c>
      <c r="O3" s="88">
        <v>5000.0</v>
      </c>
    </row>
    <row r="4" ht="39.75" customHeight="1">
      <c r="A4" s="89" t="s">
        <v>36</v>
      </c>
      <c r="B4" s="89" t="s">
        <v>501</v>
      </c>
      <c r="C4" s="89" t="s">
        <v>11</v>
      </c>
      <c r="D4" s="89" t="s">
        <v>502</v>
      </c>
      <c r="E4" s="89" t="s">
        <v>39</v>
      </c>
      <c r="F4" s="89" t="s">
        <v>503</v>
      </c>
      <c r="G4" s="89" t="s">
        <v>504</v>
      </c>
      <c r="H4" s="89" t="s">
        <v>505</v>
      </c>
      <c r="I4" s="89" t="s">
        <v>506</v>
      </c>
      <c r="J4" s="89" t="s">
        <v>507</v>
      </c>
      <c r="K4" s="89" t="s">
        <v>508</v>
      </c>
      <c r="L4" s="89" t="s">
        <v>509</v>
      </c>
      <c r="M4" s="89" t="s">
        <v>510</v>
      </c>
      <c r="N4" s="89" t="s">
        <v>511</v>
      </c>
      <c r="O4" s="89" t="s">
        <v>512</v>
      </c>
      <c r="P4" s="89" t="s">
        <v>513</v>
      </c>
      <c r="Q4" s="89" t="s">
        <v>514</v>
      </c>
      <c r="R4" s="89" t="s">
        <v>515</v>
      </c>
      <c r="S4" s="89" t="s">
        <v>51</v>
      </c>
    </row>
    <row r="5" ht="15.75" customHeight="1">
      <c r="A5" s="90">
        <v>1.0</v>
      </c>
      <c r="B5" s="91" t="s">
        <v>516</v>
      </c>
      <c r="C5" s="90" t="s">
        <v>55</v>
      </c>
      <c r="D5" s="90" t="s">
        <v>56</v>
      </c>
      <c r="E5" s="90" t="s">
        <v>57</v>
      </c>
      <c r="F5" s="91">
        <v>2.0</v>
      </c>
      <c r="G5" s="91">
        <v>2.0</v>
      </c>
      <c r="H5" s="91">
        <v>3.0</v>
      </c>
      <c r="I5" s="91">
        <v>345.0</v>
      </c>
      <c r="J5" s="90"/>
      <c r="K5" s="90">
        <f t="shared" ref="K5:K215" si="1">I5+J5</f>
        <v>345</v>
      </c>
      <c r="L5" s="91">
        <v>62.0</v>
      </c>
      <c r="M5" s="91">
        <v>22.0</v>
      </c>
      <c r="N5" s="91">
        <v>5.0</v>
      </c>
      <c r="O5" s="90">
        <f t="shared" ref="O5:O215" si="2">IF(K5&gt;0,(L5+M5+N5)/K5*100,0)</f>
        <v>25.79710145</v>
      </c>
      <c r="P5" s="90"/>
      <c r="Q5" s="90"/>
      <c r="R5" s="90"/>
      <c r="S5" s="91" t="s">
        <v>63</v>
      </c>
    </row>
    <row r="6" ht="15.75" customHeight="1">
      <c r="A6" s="90">
        <v>2.0</v>
      </c>
      <c r="B6" s="91" t="s">
        <v>516</v>
      </c>
      <c r="C6" s="90" t="s">
        <v>65</v>
      </c>
      <c r="D6" s="90" t="s">
        <v>56</v>
      </c>
      <c r="E6" s="90" t="s">
        <v>57</v>
      </c>
      <c r="F6" s="91">
        <v>0.0</v>
      </c>
      <c r="G6" s="91">
        <v>0.0</v>
      </c>
      <c r="H6" s="91">
        <v>5.0</v>
      </c>
      <c r="I6" s="91">
        <v>415.0</v>
      </c>
      <c r="J6" s="90"/>
      <c r="K6" s="90">
        <f t="shared" si="1"/>
        <v>415</v>
      </c>
      <c r="L6" s="91">
        <v>13.0</v>
      </c>
      <c r="M6" s="91">
        <v>10.0</v>
      </c>
      <c r="N6" s="90"/>
      <c r="O6" s="90">
        <f t="shared" si="2"/>
        <v>5.542168675</v>
      </c>
      <c r="P6" s="90"/>
      <c r="Q6" s="90"/>
      <c r="R6" s="90"/>
      <c r="S6" s="91" t="s">
        <v>63</v>
      </c>
    </row>
    <row r="7" ht="15.75" customHeight="1">
      <c r="A7" s="90">
        <v>3.0</v>
      </c>
      <c r="B7" s="91" t="s">
        <v>516</v>
      </c>
      <c r="C7" s="90" t="s">
        <v>69</v>
      </c>
      <c r="D7" s="90" t="s">
        <v>56</v>
      </c>
      <c r="E7" s="90" t="s">
        <v>57</v>
      </c>
      <c r="F7" s="91">
        <v>1.0</v>
      </c>
      <c r="G7" s="90"/>
      <c r="H7" s="91">
        <v>4.0</v>
      </c>
      <c r="I7" s="91">
        <v>131.0</v>
      </c>
      <c r="J7" s="90"/>
      <c r="K7" s="90">
        <f t="shared" si="1"/>
        <v>131</v>
      </c>
      <c r="L7" s="91">
        <v>11.0</v>
      </c>
      <c r="M7" s="91">
        <v>4.0</v>
      </c>
      <c r="N7" s="91">
        <v>10.0</v>
      </c>
      <c r="O7" s="90">
        <f t="shared" si="2"/>
        <v>19.08396947</v>
      </c>
      <c r="P7" s="90"/>
      <c r="Q7" s="90"/>
      <c r="R7" s="90"/>
      <c r="S7" s="91" t="s">
        <v>63</v>
      </c>
    </row>
    <row r="8" ht="15.75" customHeight="1">
      <c r="A8" s="91">
        <v>5.0</v>
      </c>
      <c r="B8" s="91" t="s">
        <v>516</v>
      </c>
      <c r="C8" s="91" t="s">
        <v>428</v>
      </c>
      <c r="D8" s="91" t="s">
        <v>56</v>
      </c>
      <c r="E8" s="90" t="s">
        <v>57</v>
      </c>
      <c r="F8" s="91">
        <v>0.0</v>
      </c>
      <c r="G8" s="91">
        <v>0.0</v>
      </c>
      <c r="H8" s="91">
        <v>4.0</v>
      </c>
      <c r="I8" s="91">
        <v>1274.0</v>
      </c>
      <c r="J8" s="90"/>
      <c r="K8" s="90">
        <f t="shared" si="1"/>
        <v>1274</v>
      </c>
      <c r="L8" s="91">
        <v>21.0</v>
      </c>
      <c r="M8" s="91">
        <v>39.0</v>
      </c>
      <c r="N8" s="90"/>
      <c r="O8" s="90">
        <f t="shared" si="2"/>
        <v>4.709576138</v>
      </c>
      <c r="P8" s="90"/>
      <c r="Q8" s="90"/>
      <c r="R8" s="90"/>
      <c r="S8" s="91" t="s">
        <v>63</v>
      </c>
    </row>
    <row r="9" ht="15.75" customHeight="1">
      <c r="A9" s="90">
        <v>4.0</v>
      </c>
      <c r="B9" s="91" t="s">
        <v>516</v>
      </c>
      <c r="C9" s="90" t="s">
        <v>72</v>
      </c>
      <c r="D9" s="90" t="s">
        <v>56</v>
      </c>
      <c r="E9" s="90" t="s">
        <v>57</v>
      </c>
      <c r="F9" s="90"/>
      <c r="G9" s="90"/>
      <c r="H9" s="90"/>
      <c r="I9" s="91"/>
      <c r="J9" s="90"/>
      <c r="K9" s="90">
        <f t="shared" si="1"/>
        <v>0</v>
      </c>
      <c r="L9" s="90"/>
      <c r="M9" s="90"/>
      <c r="N9" s="90"/>
      <c r="O9" s="90">
        <f t="shared" si="2"/>
        <v>0</v>
      </c>
      <c r="P9" s="90"/>
      <c r="Q9" s="90"/>
      <c r="R9" s="90"/>
      <c r="S9" s="91" t="s">
        <v>63</v>
      </c>
    </row>
    <row r="10" ht="15.75" customHeight="1">
      <c r="A10" s="91">
        <v>6.0</v>
      </c>
      <c r="B10" s="91" t="s">
        <v>517</v>
      </c>
      <c r="C10" s="90" t="s">
        <v>55</v>
      </c>
      <c r="D10" s="90" t="s">
        <v>56</v>
      </c>
      <c r="E10" s="90" t="s">
        <v>57</v>
      </c>
      <c r="F10" s="90"/>
      <c r="G10" s="90"/>
      <c r="H10" s="90"/>
      <c r="I10" s="91"/>
      <c r="J10" s="90"/>
      <c r="K10" s="90">
        <f t="shared" si="1"/>
        <v>0</v>
      </c>
      <c r="L10" s="90"/>
      <c r="M10" s="90"/>
      <c r="N10" s="90"/>
      <c r="O10" s="90">
        <f t="shared" si="2"/>
        <v>0</v>
      </c>
      <c r="P10" s="90"/>
      <c r="Q10" s="90"/>
      <c r="R10" s="90"/>
      <c r="S10" s="90"/>
    </row>
    <row r="11" ht="15.75" customHeight="1">
      <c r="A11" s="91">
        <v>7.0</v>
      </c>
      <c r="B11" s="91" t="s">
        <v>517</v>
      </c>
      <c r="C11" s="90" t="s">
        <v>65</v>
      </c>
      <c r="D11" s="90" t="s">
        <v>56</v>
      </c>
      <c r="E11" s="90" t="s">
        <v>57</v>
      </c>
      <c r="F11" s="90"/>
      <c r="G11" s="90"/>
      <c r="H11" s="90"/>
      <c r="I11" s="91"/>
      <c r="J11" s="90"/>
      <c r="K11" s="90">
        <f t="shared" si="1"/>
        <v>0</v>
      </c>
      <c r="L11" s="90"/>
      <c r="M11" s="90"/>
      <c r="N11" s="90"/>
      <c r="O11" s="90">
        <f t="shared" si="2"/>
        <v>0</v>
      </c>
      <c r="P11" s="90"/>
      <c r="Q11" s="90"/>
      <c r="R11" s="90"/>
      <c r="S11" s="90"/>
    </row>
    <row r="12" ht="15.75" customHeight="1">
      <c r="A12" s="91">
        <v>8.0</v>
      </c>
      <c r="B12" s="91" t="s">
        <v>517</v>
      </c>
      <c r="C12" s="90" t="s">
        <v>69</v>
      </c>
      <c r="D12" s="90" t="s">
        <v>56</v>
      </c>
      <c r="E12" s="90" t="s">
        <v>57</v>
      </c>
      <c r="F12" s="90"/>
      <c r="G12" s="90"/>
      <c r="H12" s="90"/>
      <c r="I12" s="91"/>
      <c r="J12" s="90"/>
      <c r="K12" s="90">
        <f t="shared" si="1"/>
        <v>0</v>
      </c>
      <c r="L12" s="90"/>
      <c r="M12" s="90"/>
      <c r="N12" s="90"/>
      <c r="O12" s="90">
        <f t="shared" si="2"/>
        <v>0</v>
      </c>
      <c r="P12" s="90"/>
      <c r="Q12" s="90"/>
      <c r="R12" s="90"/>
      <c r="S12" s="90"/>
    </row>
    <row r="13" ht="15.75" customHeight="1">
      <c r="A13" s="91">
        <v>9.0</v>
      </c>
      <c r="B13" s="91" t="s">
        <v>517</v>
      </c>
      <c r="C13" s="91" t="s">
        <v>428</v>
      </c>
      <c r="D13" s="91" t="s">
        <v>56</v>
      </c>
      <c r="E13" s="90" t="s">
        <v>57</v>
      </c>
      <c r="F13" s="90"/>
      <c r="G13" s="90"/>
      <c r="H13" s="90"/>
      <c r="I13" s="91"/>
      <c r="J13" s="90"/>
      <c r="K13" s="90">
        <f t="shared" si="1"/>
        <v>0</v>
      </c>
      <c r="L13" s="90"/>
      <c r="M13" s="90"/>
      <c r="N13" s="90"/>
      <c r="O13" s="90">
        <f t="shared" si="2"/>
        <v>0</v>
      </c>
      <c r="P13" s="90"/>
      <c r="Q13" s="90"/>
      <c r="R13" s="90"/>
      <c r="S13" s="90"/>
    </row>
    <row r="14" ht="15.75" customHeight="1">
      <c r="A14" s="91">
        <v>10.0</v>
      </c>
      <c r="B14" s="91" t="s">
        <v>517</v>
      </c>
      <c r="C14" s="90" t="s">
        <v>72</v>
      </c>
      <c r="D14" s="90" t="s">
        <v>56</v>
      </c>
      <c r="E14" s="90" t="s">
        <v>57</v>
      </c>
      <c r="F14" s="90"/>
      <c r="G14" s="90"/>
      <c r="H14" s="90"/>
      <c r="I14" s="90"/>
      <c r="J14" s="90"/>
      <c r="K14" s="90">
        <f t="shared" si="1"/>
        <v>0</v>
      </c>
      <c r="L14" s="90"/>
      <c r="M14" s="90"/>
      <c r="N14" s="90"/>
      <c r="O14" s="90">
        <f t="shared" si="2"/>
        <v>0</v>
      </c>
      <c r="P14" s="90"/>
      <c r="Q14" s="90"/>
      <c r="R14" s="90"/>
      <c r="S14" s="90"/>
    </row>
    <row r="15" ht="15.75" customHeight="1">
      <c r="A15" s="91">
        <v>11.0</v>
      </c>
      <c r="B15" s="91" t="s">
        <v>518</v>
      </c>
      <c r="C15" s="90" t="s">
        <v>55</v>
      </c>
      <c r="D15" s="90" t="s">
        <v>56</v>
      </c>
      <c r="E15" s="90" t="s">
        <v>57</v>
      </c>
      <c r="F15" s="90"/>
      <c r="G15" s="90"/>
      <c r="H15" s="90"/>
      <c r="I15" s="90"/>
      <c r="J15" s="90"/>
      <c r="K15" s="90">
        <f t="shared" si="1"/>
        <v>0</v>
      </c>
      <c r="L15" s="90"/>
      <c r="M15" s="90"/>
      <c r="N15" s="90"/>
      <c r="O15" s="90">
        <f t="shared" si="2"/>
        <v>0</v>
      </c>
      <c r="P15" s="90"/>
      <c r="Q15" s="90"/>
      <c r="R15" s="90"/>
      <c r="S15" s="90"/>
    </row>
    <row r="16" ht="15.75" customHeight="1">
      <c r="A16" s="91">
        <v>12.0</v>
      </c>
      <c r="B16" s="91" t="s">
        <v>518</v>
      </c>
      <c r="C16" s="90" t="s">
        <v>65</v>
      </c>
      <c r="D16" s="90" t="s">
        <v>56</v>
      </c>
      <c r="E16" s="90" t="s">
        <v>57</v>
      </c>
      <c r="F16" s="90"/>
      <c r="G16" s="90"/>
      <c r="H16" s="90"/>
      <c r="I16" s="90"/>
      <c r="J16" s="90"/>
      <c r="K16" s="90">
        <f t="shared" si="1"/>
        <v>0</v>
      </c>
      <c r="L16" s="90"/>
      <c r="M16" s="90"/>
      <c r="N16" s="90"/>
      <c r="O16" s="90">
        <f t="shared" si="2"/>
        <v>0</v>
      </c>
      <c r="P16" s="90"/>
      <c r="Q16" s="90"/>
      <c r="R16" s="90"/>
      <c r="S16" s="90"/>
    </row>
    <row r="17" ht="15.75" customHeight="1">
      <c r="A17" s="91">
        <v>13.0</v>
      </c>
      <c r="B17" s="91" t="s">
        <v>518</v>
      </c>
      <c r="C17" s="90" t="s">
        <v>69</v>
      </c>
      <c r="D17" s="90" t="s">
        <v>56</v>
      </c>
      <c r="E17" s="90" t="s">
        <v>57</v>
      </c>
      <c r="F17" s="90"/>
      <c r="G17" s="90"/>
      <c r="H17" s="90"/>
      <c r="I17" s="90"/>
      <c r="J17" s="90"/>
      <c r="K17" s="90">
        <f t="shared" si="1"/>
        <v>0</v>
      </c>
      <c r="L17" s="90"/>
      <c r="M17" s="90"/>
      <c r="N17" s="90"/>
      <c r="O17" s="90">
        <f t="shared" si="2"/>
        <v>0</v>
      </c>
      <c r="P17" s="90"/>
      <c r="Q17" s="90"/>
      <c r="R17" s="90"/>
      <c r="S17" s="90"/>
    </row>
    <row r="18" ht="15.75" customHeight="1">
      <c r="A18" s="91">
        <v>14.0</v>
      </c>
      <c r="B18" s="91" t="s">
        <v>518</v>
      </c>
      <c r="C18" s="91" t="s">
        <v>428</v>
      </c>
      <c r="D18" s="91" t="s">
        <v>56</v>
      </c>
      <c r="E18" s="90" t="s">
        <v>57</v>
      </c>
      <c r="F18" s="90"/>
      <c r="G18" s="90"/>
      <c r="H18" s="90"/>
      <c r="I18" s="90"/>
      <c r="J18" s="90"/>
      <c r="K18" s="90">
        <f t="shared" si="1"/>
        <v>0</v>
      </c>
      <c r="L18" s="90"/>
      <c r="M18" s="90"/>
      <c r="N18" s="90"/>
      <c r="O18" s="90">
        <f t="shared" si="2"/>
        <v>0</v>
      </c>
      <c r="P18" s="90"/>
      <c r="Q18" s="90"/>
      <c r="R18" s="90"/>
      <c r="S18" s="90"/>
    </row>
    <row r="19" ht="15.75" customHeight="1">
      <c r="A19" s="91">
        <v>15.0</v>
      </c>
      <c r="B19" s="91" t="s">
        <v>518</v>
      </c>
      <c r="C19" s="90" t="s">
        <v>72</v>
      </c>
      <c r="D19" s="90" t="s">
        <v>56</v>
      </c>
      <c r="E19" s="90" t="s">
        <v>57</v>
      </c>
      <c r="F19" s="90"/>
      <c r="G19" s="90"/>
      <c r="H19" s="90"/>
      <c r="I19" s="90"/>
      <c r="J19" s="90"/>
      <c r="K19" s="90">
        <f t="shared" si="1"/>
        <v>0</v>
      </c>
      <c r="L19" s="90"/>
      <c r="M19" s="90"/>
      <c r="N19" s="90"/>
      <c r="O19" s="90">
        <f t="shared" si="2"/>
        <v>0</v>
      </c>
      <c r="P19" s="90"/>
      <c r="Q19" s="90"/>
      <c r="R19" s="90"/>
      <c r="S19" s="90"/>
    </row>
    <row r="20" ht="15.75" customHeight="1">
      <c r="A20" s="91">
        <v>16.0</v>
      </c>
      <c r="B20" s="91" t="s">
        <v>519</v>
      </c>
      <c r="C20" s="90" t="s">
        <v>55</v>
      </c>
      <c r="D20" s="90" t="s">
        <v>56</v>
      </c>
      <c r="E20" s="90" t="s">
        <v>57</v>
      </c>
      <c r="F20" s="90"/>
      <c r="G20" s="90"/>
      <c r="H20" s="90"/>
      <c r="I20" s="90"/>
      <c r="J20" s="90"/>
      <c r="K20" s="90">
        <f t="shared" si="1"/>
        <v>0</v>
      </c>
      <c r="L20" s="90"/>
      <c r="M20" s="90"/>
      <c r="N20" s="90"/>
      <c r="O20" s="90">
        <f t="shared" si="2"/>
        <v>0</v>
      </c>
      <c r="P20" s="90"/>
      <c r="Q20" s="90"/>
      <c r="R20" s="90"/>
      <c r="S20" s="90"/>
    </row>
    <row r="21" ht="15.75" customHeight="1">
      <c r="A21" s="91">
        <v>17.0</v>
      </c>
      <c r="B21" s="91" t="s">
        <v>519</v>
      </c>
      <c r="C21" s="90" t="s">
        <v>65</v>
      </c>
      <c r="D21" s="90" t="s">
        <v>56</v>
      </c>
      <c r="E21" s="90" t="s">
        <v>57</v>
      </c>
      <c r="F21" s="90"/>
      <c r="G21" s="90"/>
      <c r="H21" s="90"/>
      <c r="I21" s="90"/>
      <c r="J21" s="90"/>
      <c r="K21" s="90">
        <f t="shared" si="1"/>
        <v>0</v>
      </c>
      <c r="L21" s="90"/>
      <c r="M21" s="90"/>
      <c r="N21" s="90"/>
      <c r="O21" s="90">
        <f t="shared" si="2"/>
        <v>0</v>
      </c>
      <c r="P21" s="90"/>
      <c r="Q21" s="90"/>
      <c r="R21" s="90"/>
      <c r="S21" s="90"/>
    </row>
    <row r="22" ht="15.75" customHeight="1">
      <c r="A22" s="91">
        <v>18.0</v>
      </c>
      <c r="B22" s="91" t="s">
        <v>519</v>
      </c>
      <c r="C22" s="90" t="s">
        <v>69</v>
      </c>
      <c r="D22" s="90" t="s">
        <v>56</v>
      </c>
      <c r="E22" s="90" t="s">
        <v>57</v>
      </c>
      <c r="F22" s="90"/>
      <c r="G22" s="90"/>
      <c r="H22" s="90"/>
      <c r="I22" s="90"/>
      <c r="J22" s="90"/>
      <c r="K22" s="90">
        <f t="shared" si="1"/>
        <v>0</v>
      </c>
      <c r="L22" s="90"/>
      <c r="M22" s="90"/>
      <c r="N22" s="90"/>
      <c r="O22" s="90">
        <f t="shared" si="2"/>
        <v>0</v>
      </c>
      <c r="P22" s="90"/>
      <c r="Q22" s="90"/>
      <c r="R22" s="90"/>
      <c r="S22" s="90"/>
    </row>
    <row r="23" ht="15.75" customHeight="1">
      <c r="A23" s="91">
        <v>19.0</v>
      </c>
      <c r="B23" s="91" t="s">
        <v>519</v>
      </c>
      <c r="C23" s="91" t="s">
        <v>428</v>
      </c>
      <c r="D23" s="91" t="s">
        <v>56</v>
      </c>
      <c r="E23" s="90" t="s">
        <v>57</v>
      </c>
      <c r="F23" s="90"/>
      <c r="G23" s="90"/>
      <c r="H23" s="90"/>
      <c r="I23" s="90"/>
      <c r="J23" s="90"/>
      <c r="K23" s="90">
        <f t="shared" si="1"/>
        <v>0</v>
      </c>
      <c r="L23" s="90"/>
      <c r="M23" s="90"/>
      <c r="N23" s="90"/>
      <c r="O23" s="90">
        <f t="shared" si="2"/>
        <v>0</v>
      </c>
      <c r="P23" s="90"/>
      <c r="Q23" s="90"/>
      <c r="R23" s="90"/>
      <c r="S23" s="90"/>
    </row>
    <row r="24" ht="15.75" customHeight="1">
      <c r="A24" s="91">
        <v>20.0</v>
      </c>
      <c r="B24" s="91" t="s">
        <v>519</v>
      </c>
      <c r="C24" s="90" t="s">
        <v>72</v>
      </c>
      <c r="D24" s="90" t="s">
        <v>56</v>
      </c>
      <c r="E24" s="90" t="s">
        <v>57</v>
      </c>
      <c r="F24" s="90"/>
      <c r="G24" s="90"/>
      <c r="H24" s="90"/>
      <c r="I24" s="90"/>
      <c r="J24" s="90"/>
      <c r="K24" s="90">
        <f t="shared" si="1"/>
        <v>0</v>
      </c>
      <c r="L24" s="90"/>
      <c r="M24" s="90"/>
      <c r="N24" s="90"/>
      <c r="O24" s="90">
        <f t="shared" si="2"/>
        <v>0</v>
      </c>
      <c r="P24" s="90"/>
      <c r="Q24" s="90"/>
      <c r="R24" s="90"/>
      <c r="S24" s="90"/>
    </row>
    <row r="25" ht="15.75" customHeight="1">
      <c r="A25" s="91">
        <v>21.0</v>
      </c>
      <c r="B25" s="91" t="s">
        <v>520</v>
      </c>
      <c r="C25" s="90" t="s">
        <v>55</v>
      </c>
      <c r="D25" s="90" t="s">
        <v>56</v>
      </c>
      <c r="E25" s="90" t="s">
        <v>57</v>
      </c>
      <c r="F25" s="90"/>
      <c r="G25" s="90"/>
      <c r="H25" s="90"/>
      <c r="I25" s="90"/>
      <c r="J25" s="90"/>
      <c r="K25" s="90">
        <f t="shared" si="1"/>
        <v>0</v>
      </c>
      <c r="L25" s="90"/>
      <c r="M25" s="90"/>
      <c r="N25" s="90"/>
      <c r="O25" s="90">
        <f t="shared" si="2"/>
        <v>0</v>
      </c>
      <c r="P25" s="90"/>
      <c r="Q25" s="90"/>
      <c r="R25" s="90"/>
      <c r="S25" s="90"/>
    </row>
    <row r="26" ht="15.75" customHeight="1">
      <c r="A26" s="91">
        <v>22.0</v>
      </c>
      <c r="B26" s="91" t="s">
        <v>520</v>
      </c>
      <c r="C26" s="90" t="s">
        <v>65</v>
      </c>
      <c r="D26" s="90" t="s">
        <v>56</v>
      </c>
      <c r="E26" s="90" t="s">
        <v>57</v>
      </c>
      <c r="F26" s="90"/>
      <c r="G26" s="90"/>
      <c r="H26" s="90"/>
      <c r="I26" s="90"/>
      <c r="J26" s="90"/>
      <c r="K26" s="90">
        <f t="shared" si="1"/>
        <v>0</v>
      </c>
      <c r="L26" s="90"/>
      <c r="M26" s="90"/>
      <c r="N26" s="90"/>
      <c r="O26" s="90">
        <f t="shared" si="2"/>
        <v>0</v>
      </c>
      <c r="P26" s="90"/>
      <c r="Q26" s="90"/>
      <c r="R26" s="90"/>
      <c r="S26" s="90"/>
    </row>
    <row r="27" ht="15.75" customHeight="1">
      <c r="A27" s="91">
        <v>23.0</v>
      </c>
      <c r="B27" s="91" t="s">
        <v>520</v>
      </c>
      <c r="C27" s="90" t="s">
        <v>69</v>
      </c>
      <c r="D27" s="90" t="s">
        <v>56</v>
      </c>
      <c r="E27" s="90" t="s">
        <v>57</v>
      </c>
      <c r="F27" s="90"/>
      <c r="G27" s="90"/>
      <c r="H27" s="90"/>
      <c r="I27" s="90"/>
      <c r="J27" s="90"/>
      <c r="K27" s="90">
        <f t="shared" si="1"/>
        <v>0</v>
      </c>
      <c r="L27" s="90"/>
      <c r="M27" s="90"/>
      <c r="N27" s="90"/>
      <c r="O27" s="90">
        <f t="shared" si="2"/>
        <v>0</v>
      </c>
      <c r="P27" s="90"/>
      <c r="Q27" s="90"/>
      <c r="R27" s="90"/>
      <c r="S27" s="90"/>
    </row>
    <row r="28" ht="15.75" customHeight="1">
      <c r="A28" s="91">
        <v>24.0</v>
      </c>
      <c r="B28" s="91" t="s">
        <v>520</v>
      </c>
      <c r="C28" s="91" t="s">
        <v>428</v>
      </c>
      <c r="D28" s="91" t="s">
        <v>56</v>
      </c>
      <c r="E28" s="90" t="s">
        <v>57</v>
      </c>
      <c r="F28" s="90"/>
      <c r="G28" s="90"/>
      <c r="H28" s="90"/>
      <c r="I28" s="90"/>
      <c r="J28" s="90"/>
      <c r="K28" s="90">
        <f t="shared" si="1"/>
        <v>0</v>
      </c>
      <c r="L28" s="90"/>
      <c r="M28" s="90"/>
      <c r="N28" s="90"/>
      <c r="O28" s="90">
        <f t="shared" si="2"/>
        <v>0</v>
      </c>
      <c r="P28" s="90"/>
      <c r="Q28" s="90"/>
      <c r="R28" s="90"/>
      <c r="S28" s="90"/>
    </row>
    <row r="29" ht="15.75" customHeight="1">
      <c r="A29" s="91">
        <v>25.0</v>
      </c>
      <c r="B29" s="91" t="s">
        <v>520</v>
      </c>
      <c r="C29" s="90" t="s">
        <v>72</v>
      </c>
      <c r="D29" s="90" t="s">
        <v>56</v>
      </c>
      <c r="E29" s="90" t="s">
        <v>57</v>
      </c>
      <c r="F29" s="90"/>
      <c r="G29" s="90"/>
      <c r="H29" s="90"/>
      <c r="I29" s="90"/>
      <c r="J29" s="90"/>
      <c r="K29" s="90">
        <f t="shared" si="1"/>
        <v>0</v>
      </c>
      <c r="L29" s="90"/>
      <c r="M29" s="90"/>
      <c r="N29" s="90"/>
      <c r="O29" s="90">
        <f t="shared" si="2"/>
        <v>0</v>
      </c>
      <c r="P29" s="90"/>
      <c r="Q29" s="90"/>
      <c r="R29" s="90"/>
      <c r="S29" s="90"/>
    </row>
    <row r="30" ht="15.75" customHeight="1">
      <c r="A30" s="92">
        <v>5.0</v>
      </c>
      <c r="B30" s="92" t="s">
        <v>126</v>
      </c>
      <c r="C30" s="92" t="s">
        <v>55</v>
      </c>
      <c r="D30" s="92" t="s">
        <v>127</v>
      </c>
      <c r="E30" s="92" t="s">
        <v>57</v>
      </c>
      <c r="F30" s="92"/>
      <c r="G30" s="92"/>
      <c r="H30" s="92"/>
      <c r="I30" s="92"/>
      <c r="J30" s="92"/>
      <c r="K30" s="92">
        <f t="shared" si="1"/>
        <v>0</v>
      </c>
      <c r="L30" s="92"/>
      <c r="M30" s="92"/>
      <c r="N30" s="92"/>
      <c r="O30" s="92">
        <f t="shared" si="2"/>
        <v>0</v>
      </c>
      <c r="P30" s="92"/>
      <c r="Q30" s="92"/>
      <c r="R30" s="92"/>
      <c r="S30" s="92"/>
    </row>
    <row r="31" ht="15.75" customHeight="1">
      <c r="A31" s="92">
        <v>6.0</v>
      </c>
      <c r="B31" s="92" t="s">
        <v>131</v>
      </c>
      <c r="C31" s="92" t="s">
        <v>55</v>
      </c>
      <c r="D31" s="92" t="s">
        <v>127</v>
      </c>
      <c r="E31" s="92" t="s">
        <v>132</v>
      </c>
      <c r="F31" s="92"/>
      <c r="G31" s="92"/>
      <c r="H31" s="92"/>
      <c r="I31" s="92"/>
      <c r="J31" s="92"/>
      <c r="K31" s="92">
        <f t="shared" si="1"/>
        <v>0</v>
      </c>
      <c r="L31" s="92"/>
      <c r="M31" s="92"/>
      <c r="N31" s="92"/>
      <c r="O31" s="92">
        <f t="shared" si="2"/>
        <v>0</v>
      </c>
      <c r="P31" s="92"/>
      <c r="Q31" s="92"/>
      <c r="R31" s="92"/>
      <c r="S31" s="92"/>
    </row>
    <row r="32" ht="15.75" customHeight="1">
      <c r="A32" s="92">
        <v>7.0</v>
      </c>
      <c r="B32" s="92" t="s">
        <v>137</v>
      </c>
      <c r="C32" s="92" t="s">
        <v>55</v>
      </c>
      <c r="D32" s="92" t="s">
        <v>127</v>
      </c>
      <c r="E32" s="92" t="s">
        <v>138</v>
      </c>
      <c r="F32" s="92"/>
      <c r="G32" s="92"/>
      <c r="H32" s="92"/>
      <c r="I32" s="92"/>
      <c r="J32" s="92"/>
      <c r="K32" s="92">
        <f t="shared" si="1"/>
        <v>0</v>
      </c>
      <c r="L32" s="92"/>
      <c r="M32" s="92"/>
      <c r="N32" s="92"/>
      <c r="O32" s="92">
        <f t="shared" si="2"/>
        <v>0</v>
      </c>
      <c r="P32" s="92"/>
      <c r="Q32" s="92"/>
      <c r="R32" s="92"/>
      <c r="S32" s="92"/>
    </row>
    <row r="33" ht="15.75" customHeight="1">
      <c r="A33" s="92">
        <v>8.0</v>
      </c>
      <c r="B33" s="92" t="s">
        <v>139</v>
      </c>
      <c r="C33" s="92" t="s">
        <v>55</v>
      </c>
      <c r="D33" s="92" t="s">
        <v>127</v>
      </c>
      <c r="E33" s="92" t="s">
        <v>140</v>
      </c>
      <c r="F33" s="92"/>
      <c r="G33" s="92"/>
      <c r="H33" s="92"/>
      <c r="I33" s="92"/>
      <c r="J33" s="92"/>
      <c r="K33" s="92">
        <f t="shared" si="1"/>
        <v>0</v>
      </c>
      <c r="L33" s="92"/>
      <c r="M33" s="92"/>
      <c r="N33" s="92"/>
      <c r="O33" s="92">
        <f t="shared" si="2"/>
        <v>0</v>
      </c>
      <c r="P33" s="92"/>
      <c r="Q33" s="92"/>
      <c r="R33" s="92"/>
      <c r="S33" s="92"/>
    </row>
    <row r="34" ht="15.75" customHeight="1">
      <c r="A34" s="92">
        <v>9.0</v>
      </c>
      <c r="B34" s="92" t="s">
        <v>143</v>
      </c>
      <c r="C34" s="92" t="s">
        <v>55</v>
      </c>
      <c r="D34" s="92" t="s">
        <v>127</v>
      </c>
      <c r="E34" s="92" t="s">
        <v>144</v>
      </c>
      <c r="F34" s="92"/>
      <c r="G34" s="92"/>
      <c r="H34" s="92"/>
      <c r="I34" s="92"/>
      <c r="J34" s="92"/>
      <c r="K34" s="92">
        <f t="shared" si="1"/>
        <v>0</v>
      </c>
      <c r="L34" s="92"/>
      <c r="M34" s="92"/>
      <c r="N34" s="92"/>
      <c r="O34" s="92">
        <f t="shared" si="2"/>
        <v>0</v>
      </c>
      <c r="P34" s="92"/>
      <c r="Q34" s="92"/>
      <c r="R34" s="92"/>
      <c r="S34" s="92"/>
    </row>
    <row r="35" ht="15.75" customHeight="1">
      <c r="A35" s="92">
        <v>10.0</v>
      </c>
      <c r="B35" s="92" t="s">
        <v>146</v>
      </c>
      <c r="C35" s="92" t="s">
        <v>55</v>
      </c>
      <c r="D35" s="92" t="s">
        <v>127</v>
      </c>
      <c r="E35" s="92" t="s">
        <v>147</v>
      </c>
      <c r="F35" s="92"/>
      <c r="G35" s="92"/>
      <c r="H35" s="92"/>
      <c r="I35" s="92"/>
      <c r="J35" s="92"/>
      <c r="K35" s="92">
        <f t="shared" si="1"/>
        <v>0</v>
      </c>
      <c r="L35" s="92"/>
      <c r="M35" s="92"/>
      <c r="N35" s="92"/>
      <c r="O35" s="92">
        <f t="shared" si="2"/>
        <v>0</v>
      </c>
      <c r="P35" s="92"/>
      <c r="Q35" s="92"/>
      <c r="R35" s="92"/>
      <c r="S35" s="92"/>
    </row>
    <row r="36" ht="15.75" customHeight="1">
      <c r="A36" s="92">
        <v>11.0</v>
      </c>
      <c r="B36" s="92" t="s">
        <v>149</v>
      </c>
      <c r="C36" s="92" t="s">
        <v>55</v>
      </c>
      <c r="D36" s="92" t="s">
        <v>127</v>
      </c>
      <c r="E36" s="92" t="s">
        <v>150</v>
      </c>
      <c r="F36" s="92"/>
      <c r="G36" s="92"/>
      <c r="H36" s="92"/>
      <c r="I36" s="92"/>
      <c r="J36" s="92"/>
      <c r="K36" s="92">
        <f t="shared" si="1"/>
        <v>0</v>
      </c>
      <c r="L36" s="92"/>
      <c r="M36" s="92"/>
      <c r="N36" s="92"/>
      <c r="O36" s="92">
        <f t="shared" si="2"/>
        <v>0</v>
      </c>
      <c r="P36" s="92"/>
      <c r="Q36" s="92"/>
      <c r="R36" s="92"/>
      <c r="S36" s="92"/>
    </row>
    <row r="37" ht="15.75" customHeight="1">
      <c r="A37" s="92">
        <v>12.0</v>
      </c>
      <c r="B37" s="92" t="s">
        <v>155</v>
      </c>
      <c r="C37" s="92" t="s">
        <v>55</v>
      </c>
      <c r="D37" s="92" t="s">
        <v>127</v>
      </c>
      <c r="E37" s="92" t="s">
        <v>156</v>
      </c>
      <c r="F37" s="92"/>
      <c r="G37" s="92"/>
      <c r="H37" s="92"/>
      <c r="I37" s="92"/>
      <c r="J37" s="92"/>
      <c r="K37" s="92">
        <f t="shared" si="1"/>
        <v>0</v>
      </c>
      <c r="L37" s="92"/>
      <c r="M37" s="92"/>
      <c r="N37" s="92"/>
      <c r="O37" s="92">
        <f t="shared" si="2"/>
        <v>0</v>
      </c>
      <c r="P37" s="92"/>
      <c r="Q37" s="92"/>
      <c r="R37" s="92"/>
      <c r="S37" s="92"/>
    </row>
    <row r="38" ht="15.75" customHeight="1">
      <c r="A38" s="92">
        <v>13.0</v>
      </c>
      <c r="B38" s="92" t="s">
        <v>160</v>
      </c>
      <c r="C38" s="92" t="s">
        <v>55</v>
      </c>
      <c r="D38" s="92" t="s">
        <v>127</v>
      </c>
      <c r="E38" s="92" t="s">
        <v>161</v>
      </c>
      <c r="F38" s="92"/>
      <c r="G38" s="92"/>
      <c r="H38" s="92"/>
      <c r="I38" s="92"/>
      <c r="J38" s="92"/>
      <c r="K38" s="92">
        <f t="shared" si="1"/>
        <v>0</v>
      </c>
      <c r="L38" s="92"/>
      <c r="M38" s="92"/>
      <c r="N38" s="92"/>
      <c r="O38" s="92">
        <f t="shared" si="2"/>
        <v>0</v>
      </c>
      <c r="P38" s="92"/>
      <c r="Q38" s="92"/>
      <c r="R38" s="92"/>
      <c r="S38" s="92"/>
    </row>
    <row r="39" ht="15.75" customHeight="1">
      <c r="A39" s="92">
        <v>14.0</v>
      </c>
      <c r="B39" s="92" t="s">
        <v>165</v>
      </c>
      <c r="C39" s="92" t="s">
        <v>55</v>
      </c>
      <c r="D39" s="92" t="s">
        <v>127</v>
      </c>
      <c r="E39" s="92" t="s">
        <v>166</v>
      </c>
      <c r="F39" s="92"/>
      <c r="G39" s="92"/>
      <c r="H39" s="92"/>
      <c r="I39" s="92"/>
      <c r="J39" s="92"/>
      <c r="K39" s="92">
        <f t="shared" si="1"/>
        <v>0</v>
      </c>
      <c r="L39" s="92"/>
      <c r="M39" s="92"/>
      <c r="N39" s="92"/>
      <c r="O39" s="92">
        <f t="shared" si="2"/>
        <v>0</v>
      </c>
      <c r="P39" s="92"/>
      <c r="Q39" s="92"/>
      <c r="R39" s="92"/>
      <c r="S39" s="92"/>
    </row>
    <row r="40" ht="15.75" customHeight="1">
      <c r="A40" s="92">
        <v>15.0</v>
      </c>
      <c r="B40" s="92" t="s">
        <v>170</v>
      </c>
      <c r="C40" s="92" t="s">
        <v>55</v>
      </c>
      <c r="D40" s="92" t="s">
        <v>127</v>
      </c>
      <c r="E40" s="92" t="s">
        <v>171</v>
      </c>
      <c r="F40" s="92"/>
      <c r="G40" s="92"/>
      <c r="H40" s="92"/>
      <c r="I40" s="92"/>
      <c r="J40" s="92"/>
      <c r="K40" s="92">
        <f t="shared" si="1"/>
        <v>0</v>
      </c>
      <c r="L40" s="92"/>
      <c r="M40" s="92"/>
      <c r="N40" s="92"/>
      <c r="O40" s="92">
        <f t="shared" si="2"/>
        <v>0</v>
      </c>
      <c r="P40" s="92"/>
      <c r="Q40" s="92"/>
      <c r="R40" s="92"/>
      <c r="S40" s="92"/>
    </row>
    <row r="41" ht="15.75" customHeight="1">
      <c r="A41" s="92">
        <v>16.0</v>
      </c>
      <c r="B41" s="92" t="s">
        <v>175</v>
      </c>
      <c r="C41" s="92" t="s">
        <v>55</v>
      </c>
      <c r="D41" s="92" t="s">
        <v>127</v>
      </c>
      <c r="E41" s="92" t="s">
        <v>176</v>
      </c>
      <c r="F41" s="92"/>
      <c r="G41" s="92"/>
      <c r="H41" s="92"/>
      <c r="I41" s="92"/>
      <c r="J41" s="92"/>
      <c r="K41" s="92">
        <f t="shared" si="1"/>
        <v>0</v>
      </c>
      <c r="L41" s="92"/>
      <c r="M41" s="92"/>
      <c r="N41" s="92"/>
      <c r="O41" s="92">
        <f t="shared" si="2"/>
        <v>0</v>
      </c>
      <c r="P41" s="92"/>
      <c r="Q41" s="92"/>
      <c r="R41" s="92"/>
      <c r="S41" s="92"/>
    </row>
    <row r="42" ht="15.75" customHeight="1">
      <c r="A42" s="92">
        <v>17.0</v>
      </c>
      <c r="B42" s="92" t="s">
        <v>178</v>
      </c>
      <c r="C42" s="92" t="s">
        <v>55</v>
      </c>
      <c r="D42" s="92" t="s">
        <v>127</v>
      </c>
      <c r="E42" s="92" t="s">
        <v>179</v>
      </c>
      <c r="F42" s="92"/>
      <c r="G42" s="92"/>
      <c r="H42" s="92"/>
      <c r="I42" s="92"/>
      <c r="J42" s="92"/>
      <c r="K42" s="92">
        <f t="shared" si="1"/>
        <v>0</v>
      </c>
      <c r="L42" s="92"/>
      <c r="M42" s="92"/>
      <c r="N42" s="92"/>
      <c r="O42" s="92">
        <f t="shared" si="2"/>
        <v>0</v>
      </c>
      <c r="P42" s="92"/>
      <c r="Q42" s="92"/>
      <c r="R42" s="92"/>
      <c r="S42" s="92"/>
    </row>
    <row r="43" ht="15.75" customHeight="1">
      <c r="A43" s="92">
        <v>18.0</v>
      </c>
      <c r="B43" s="92" t="s">
        <v>181</v>
      </c>
      <c r="C43" s="92" t="s">
        <v>55</v>
      </c>
      <c r="D43" s="92" t="s">
        <v>127</v>
      </c>
      <c r="E43" s="92" t="s">
        <v>182</v>
      </c>
      <c r="F43" s="92"/>
      <c r="G43" s="92"/>
      <c r="H43" s="92"/>
      <c r="I43" s="92"/>
      <c r="J43" s="92"/>
      <c r="K43" s="92">
        <f t="shared" si="1"/>
        <v>0</v>
      </c>
      <c r="L43" s="92"/>
      <c r="M43" s="92"/>
      <c r="N43" s="92"/>
      <c r="O43" s="92">
        <f t="shared" si="2"/>
        <v>0</v>
      </c>
      <c r="P43" s="92"/>
      <c r="Q43" s="92"/>
      <c r="R43" s="92"/>
      <c r="S43" s="92"/>
    </row>
    <row r="44" ht="15.75" customHeight="1">
      <c r="A44" s="92">
        <v>19.0</v>
      </c>
      <c r="B44" s="92" t="s">
        <v>185</v>
      </c>
      <c r="C44" s="92" t="s">
        <v>65</v>
      </c>
      <c r="D44" s="92" t="s">
        <v>127</v>
      </c>
      <c r="E44" s="92" t="s">
        <v>57</v>
      </c>
      <c r="F44" s="92"/>
      <c r="G44" s="92"/>
      <c r="H44" s="92"/>
      <c r="I44" s="92"/>
      <c r="J44" s="92"/>
      <c r="K44" s="92">
        <f t="shared" si="1"/>
        <v>0</v>
      </c>
      <c r="L44" s="92"/>
      <c r="M44" s="92"/>
      <c r="N44" s="92"/>
      <c r="O44" s="92">
        <f t="shared" si="2"/>
        <v>0</v>
      </c>
      <c r="P44" s="92"/>
      <c r="Q44" s="92"/>
      <c r="R44" s="92"/>
      <c r="S44" s="92"/>
    </row>
    <row r="45" ht="15.75" customHeight="1">
      <c r="A45" s="92">
        <v>20.0</v>
      </c>
      <c r="B45" s="92" t="s">
        <v>189</v>
      </c>
      <c r="C45" s="92" t="s">
        <v>65</v>
      </c>
      <c r="D45" s="92" t="s">
        <v>127</v>
      </c>
      <c r="E45" s="92" t="s">
        <v>132</v>
      </c>
      <c r="F45" s="92"/>
      <c r="G45" s="92"/>
      <c r="H45" s="92"/>
      <c r="I45" s="92"/>
      <c r="J45" s="92"/>
      <c r="K45" s="92">
        <f t="shared" si="1"/>
        <v>0</v>
      </c>
      <c r="L45" s="92"/>
      <c r="M45" s="92"/>
      <c r="N45" s="92"/>
      <c r="O45" s="92">
        <f t="shared" si="2"/>
        <v>0</v>
      </c>
      <c r="P45" s="92"/>
      <c r="Q45" s="92"/>
      <c r="R45" s="92"/>
      <c r="S45" s="92"/>
    </row>
    <row r="46" ht="15.75" customHeight="1">
      <c r="A46" s="92">
        <v>21.0</v>
      </c>
      <c r="B46" s="92" t="s">
        <v>191</v>
      </c>
      <c r="C46" s="92" t="s">
        <v>65</v>
      </c>
      <c r="D46" s="92" t="s">
        <v>127</v>
      </c>
      <c r="E46" s="92" t="s">
        <v>138</v>
      </c>
      <c r="F46" s="92"/>
      <c r="G46" s="92"/>
      <c r="H46" s="92"/>
      <c r="I46" s="92"/>
      <c r="J46" s="92"/>
      <c r="K46" s="92">
        <f t="shared" si="1"/>
        <v>0</v>
      </c>
      <c r="L46" s="92"/>
      <c r="M46" s="92"/>
      <c r="N46" s="92"/>
      <c r="O46" s="92">
        <f t="shared" si="2"/>
        <v>0</v>
      </c>
      <c r="P46" s="92"/>
      <c r="Q46" s="92"/>
      <c r="R46" s="92"/>
      <c r="S46" s="92"/>
    </row>
    <row r="47" ht="15.75" customHeight="1">
      <c r="A47" s="92">
        <v>22.0</v>
      </c>
      <c r="B47" s="92" t="s">
        <v>193</v>
      </c>
      <c r="C47" s="92" t="s">
        <v>65</v>
      </c>
      <c r="D47" s="92" t="s">
        <v>127</v>
      </c>
      <c r="E47" s="92" t="s">
        <v>140</v>
      </c>
      <c r="F47" s="92"/>
      <c r="G47" s="92"/>
      <c r="H47" s="92"/>
      <c r="I47" s="92"/>
      <c r="J47" s="92"/>
      <c r="K47" s="92">
        <f t="shared" si="1"/>
        <v>0</v>
      </c>
      <c r="L47" s="92"/>
      <c r="M47" s="92"/>
      <c r="N47" s="92"/>
      <c r="O47" s="92">
        <f t="shared" si="2"/>
        <v>0</v>
      </c>
      <c r="P47" s="92"/>
      <c r="Q47" s="92"/>
      <c r="R47" s="92"/>
      <c r="S47" s="92"/>
    </row>
    <row r="48" ht="15.75" customHeight="1">
      <c r="A48" s="92">
        <v>23.0</v>
      </c>
      <c r="B48" s="92" t="s">
        <v>197</v>
      </c>
      <c r="C48" s="92" t="s">
        <v>65</v>
      </c>
      <c r="D48" s="92" t="s">
        <v>127</v>
      </c>
      <c r="E48" s="92" t="s">
        <v>144</v>
      </c>
      <c r="F48" s="92"/>
      <c r="G48" s="92"/>
      <c r="H48" s="92"/>
      <c r="I48" s="92"/>
      <c r="J48" s="92"/>
      <c r="K48" s="92">
        <f t="shared" si="1"/>
        <v>0</v>
      </c>
      <c r="L48" s="92"/>
      <c r="M48" s="92"/>
      <c r="N48" s="92"/>
      <c r="O48" s="92">
        <f t="shared" si="2"/>
        <v>0</v>
      </c>
      <c r="P48" s="92"/>
      <c r="Q48" s="92"/>
      <c r="R48" s="92"/>
      <c r="S48" s="92"/>
    </row>
    <row r="49" ht="15.75" customHeight="1">
      <c r="A49" s="92">
        <v>24.0</v>
      </c>
      <c r="B49" s="92" t="s">
        <v>201</v>
      </c>
      <c r="C49" s="92" t="s">
        <v>65</v>
      </c>
      <c r="D49" s="92" t="s">
        <v>127</v>
      </c>
      <c r="E49" s="92" t="s">
        <v>147</v>
      </c>
      <c r="F49" s="92"/>
      <c r="G49" s="92"/>
      <c r="H49" s="92"/>
      <c r="I49" s="92"/>
      <c r="J49" s="92"/>
      <c r="K49" s="92">
        <f t="shared" si="1"/>
        <v>0</v>
      </c>
      <c r="L49" s="92"/>
      <c r="M49" s="92"/>
      <c r="N49" s="92"/>
      <c r="O49" s="92">
        <f t="shared" si="2"/>
        <v>0</v>
      </c>
      <c r="P49" s="92"/>
      <c r="Q49" s="92"/>
      <c r="R49" s="92"/>
      <c r="S49" s="92"/>
    </row>
    <row r="50" ht="15.75" customHeight="1">
      <c r="A50" s="92">
        <v>25.0</v>
      </c>
      <c r="B50" s="92" t="s">
        <v>202</v>
      </c>
      <c r="C50" s="92" t="s">
        <v>65</v>
      </c>
      <c r="D50" s="92" t="s">
        <v>127</v>
      </c>
      <c r="E50" s="92" t="s">
        <v>150</v>
      </c>
      <c r="F50" s="92"/>
      <c r="G50" s="92"/>
      <c r="H50" s="92"/>
      <c r="I50" s="92"/>
      <c r="J50" s="92"/>
      <c r="K50" s="92">
        <f t="shared" si="1"/>
        <v>0</v>
      </c>
      <c r="L50" s="92"/>
      <c r="M50" s="92"/>
      <c r="N50" s="92"/>
      <c r="O50" s="92">
        <f t="shared" si="2"/>
        <v>0</v>
      </c>
      <c r="P50" s="92"/>
      <c r="Q50" s="92"/>
      <c r="R50" s="92"/>
      <c r="S50" s="92"/>
    </row>
    <row r="51" ht="15.75" customHeight="1">
      <c r="A51" s="92">
        <v>26.0</v>
      </c>
      <c r="B51" s="92" t="s">
        <v>203</v>
      </c>
      <c r="C51" s="92" t="s">
        <v>65</v>
      </c>
      <c r="D51" s="92" t="s">
        <v>127</v>
      </c>
      <c r="E51" s="92" t="s">
        <v>156</v>
      </c>
      <c r="F51" s="92"/>
      <c r="G51" s="92"/>
      <c r="H51" s="92"/>
      <c r="I51" s="92"/>
      <c r="J51" s="92"/>
      <c r="K51" s="92">
        <f t="shared" si="1"/>
        <v>0</v>
      </c>
      <c r="L51" s="92"/>
      <c r="M51" s="92"/>
      <c r="N51" s="92"/>
      <c r="O51" s="92">
        <f t="shared" si="2"/>
        <v>0</v>
      </c>
      <c r="P51" s="92"/>
      <c r="Q51" s="92"/>
      <c r="R51" s="92"/>
      <c r="S51" s="92"/>
    </row>
    <row r="52" ht="15.75" customHeight="1">
      <c r="A52" s="92">
        <v>27.0</v>
      </c>
      <c r="B52" s="92" t="s">
        <v>205</v>
      </c>
      <c r="C52" s="92" t="s">
        <v>65</v>
      </c>
      <c r="D52" s="92" t="s">
        <v>127</v>
      </c>
      <c r="E52" s="92" t="s">
        <v>161</v>
      </c>
      <c r="F52" s="92"/>
      <c r="G52" s="92"/>
      <c r="H52" s="92"/>
      <c r="I52" s="92"/>
      <c r="J52" s="92"/>
      <c r="K52" s="92">
        <f t="shared" si="1"/>
        <v>0</v>
      </c>
      <c r="L52" s="92"/>
      <c r="M52" s="92"/>
      <c r="N52" s="92"/>
      <c r="O52" s="92">
        <f t="shared" si="2"/>
        <v>0</v>
      </c>
      <c r="P52" s="92"/>
      <c r="Q52" s="92"/>
      <c r="R52" s="92"/>
      <c r="S52" s="92"/>
    </row>
    <row r="53" ht="15.75" customHeight="1">
      <c r="A53" s="92">
        <v>28.0</v>
      </c>
      <c r="B53" s="92" t="s">
        <v>209</v>
      </c>
      <c r="C53" s="92" t="s">
        <v>65</v>
      </c>
      <c r="D53" s="92" t="s">
        <v>127</v>
      </c>
      <c r="E53" s="92" t="s">
        <v>166</v>
      </c>
      <c r="F53" s="92"/>
      <c r="G53" s="92"/>
      <c r="H53" s="92"/>
      <c r="I53" s="92"/>
      <c r="J53" s="92"/>
      <c r="K53" s="92">
        <f t="shared" si="1"/>
        <v>0</v>
      </c>
      <c r="L53" s="92"/>
      <c r="M53" s="92"/>
      <c r="N53" s="92"/>
      <c r="O53" s="92">
        <f t="shared" si="2"/>
        <v>0</v>
      </c>
      <c r="P53" s="92"/>
      <c r="Q53" s="92"/>
      <c r="R53" s="92"/>
      <c r="S53" s="92"/>
    </row>
    <row r="54" ht="15.75" customHeight="1">
      <c r="A54" s="92">
        <v>29.0</v>
      </c>
      <c r="B54" s="92" t="s">
        <v>211</v>
      </c>
      <c r="C54" s="92" t="s">
        <v>65</v>
      </c>
      <c r="D54" s="92" t="s">
        <v>127</v>
      </c>
      <c r="E54" s="92" t="s">
        <v>171</v>
      </c>
      <c r="F54" s="92"/>
      <c r="G54" s="92"/>
      <c r="H54" s="92"/>
      <c r="I54" s="92"/>
      <c r="J54" s="92"/>
      <c r="K54" s="92">
        <f t="shared" si="1"/>
        <v>0</v>
      </c>
      <c r="L54" s="92"/>
      <c r="M54" s="92"/>
      <c r="N54" s="92"/>
      <c r="O54" s="92">
        <f t="shared" si="2"/>
        <v>0</v>
      </c>
      <c r="P54" s="92"/>
      <c r="Q54" s="92"/>
      <c r="R54" s="92"/>
      <c r="S54" s="92"/>
    </row>
    <row r="55" ht="15.75" customHeight="1">
      <c r="A55" s="92">
        <v>30.0</v>
      </c>
      <c r="B55" s="92" t="s">
        <v>216</v>
      </c>
      <c r="C55" s="92" t="s">
        <v>65</v>
      </c>
      <c r="D55" s="92" t="s">
        <v>127</v>
      </c>
      <c r="E55" s="92" t="s">
        <v>176</v>
      </c>
      <c r="F55" s="92"/>
      <c r="G55" s="92"/>
      <c r="H55" s="92"/>
      <c r="I55" s="92"/>
      <c r="J55" s="92"/>
      <c r="K55" s="92">
        <f t="shared" si="1"/>
        <v>0</v>
      </c>
      <c r="L55" s="92"/>
      <c r="M55" s="92"/>
      <c r="N55" s="92"/>
      <c r="O55" s="92">
        <f t="shared" si="2"/>
        <v>0</v>
      </c>
      <c r="P55" s="92"/>
      <c r="Q55" s="92"/>
      <c r="R55" s="92"/>
      <c r="S55" s="92"/>
    </row>
    <row r="56" ht="15.75" customHeight="1">
      <c r="A56" s="92">
        <v>31.0</v>
      </c>
      <c r="B56" s="92" t="s">
        <v>217</v>
      </c>
      <c r="C56" s="92" t="s">
        <v>65</v>
      </c>
      <c r="D56" s="92" t="s">
        <v>127</v>
      </c>
      <c r="E56" s="92" t="s">
        <v>179</v>
      </c>
      <c r="F56" s="92"/>
      <c r="G56" s="92"/>
      <c r="H56" s="92"/>
      <c r="I56" s="92"/>
      <c r="J56" s="92"/>
      <c r="K56" s="92">
        <f t="shared" si="1"/>
        <v>0</v>
      </c>
      <c r="L56" s="92"/>
      <c r="M56" s="92"/>
      <c r="N56" s="92"/>
      <c r="O56" s="92">
        <f t="shared" si="2"/>
        <v>0</v>
      </c>
      <c r="P56" s="92"/>
      <c r="Q56" s="92"/>
      <c r="R56" s="92"/>
      <c r="S56" s="92"/>
    </row>
    <row r="57" ht="15.75" customHeight="1">
      <c r="A57" s="92">
        <v>32.0</v>
      </c>
      <c r="B57" s="92" t="s">
        <v>222</v>
      </c>
      <c r="C57" s="92" t="s">
        <v>65</v>
      </c>
      <c r="D57" s="92" t="s">
        <v>127</v>
      </c>
      <c r="E57" s="92" t="s">
        <v>182</v>
      </c>
      <c r="F57" s="92"/>
      <c r="G57" s="92"/>
      <c r="H57" s="92"/>
      <c r="I57" s="92"/>
      <c r="J57" s="92"/>
      <c r="K57" s="92">
        <f t="shared" si="1"/>
        <v>0</v>
      </c>
      <c r="L57" s="92"/>
      <c r="M57" s="92"/>
      <c r="N57" s="92"/>
      <c r="O57" s="92">
        <f t="shared" si="2"/>
        <v>0</v>
      </c>
      <c r="P57" s="92"/>
      <c r="Q57" s="92"/>
      <c r="R57" s="92"/>
      <c r="S57" s="92"/>
    </row>
    <row r="58" ht="15.75" customHeight="1">
      <c r="A58" s="92">
        <v>33.0</v>
      </c>
      <c r="B58" s="92" t="s">
        <v>225</v>
      </c>
      <c r="C58" s="92" t="s">
        <v>69</v>
      </c>
      <c r="D58" s="92" t="s">
        <v>127</v>
      </c>
      <c r="E58" s="92" t="s">
        <v>57</v>
      </c>
      <c r="F58" s="92"/>
      <c r="G58" s="92"/>
      <c r="H58" s="92"/>
      <c r="I58" s="92"/>
      <c r="J58" s="92"/>
      <c r="K58" s="92">
        <f t="shared" si="1"/>
        <v>0</v>
      </c>
      <c r="L58" s="92"/>
      <c r="M58" s="92"/>
      <c r="N58" s="92"/>
      <c r="O58" s="92">
        <f t="shared" si="2"/>
        <v>0</v>
      </c>
      <c r="P58" s="92"/>
      <c r="Q58" s="92"/>
      <c r="R58" s="92"/>
      <c r="S58" s="92"/>
    </row>
    <row r="59" ht="15.75" customHeight="1">
      <c r="A59" s="92">
        <v>34.0</v>
      </c>
      <c r="B59" s="92" t="s">
        <v>226</v>
      </c>
      <c r="C59" s="92" t="s">
        <v>69</v>
      </c>
      <c r="D59" s="92" t="s">
        <v>127</v>
      </c>
      <c r="E59" s="92" t="s">
        <v>132</v>
      </c>
      <c r="F59" s="92"/>
      <c r="G59" s="92"/>
      <c r="H59" s="92"/>
      <c r="I59" s="92"/>
      <c r="J59" s="92"/>
      <c r="K59" s="92">
        <f t="shared" si="1"/>
        <v>0</v>
      </c>
      <c r="L59" s="92"/>
      <c r="M59" s="92"/>
      <c r="N59" s="92"/>
      <c r="O59" s="92">
        <f t="shared" si="2"/>
        <v>0</v>
      </c>
      <c r="P59" s="92"/>
      <c r="Q59" s="92"/>
      <c r="R59" s="92"/>
      <c r="S59" s="92"/>
    </row>
    <row r="60" ht="15.75" customHeight="1">
      <c r="A60" s="92">
        <v>35.0</v>
      </c>
      <c r="B60" s="92" t="s">
        <v>228</v>
      </c>
      <c r="C60" s="92" t="s">
        <v>69</v>
      </c>
      <c r="D60" s="92" t="s">
        <v>127</v>
      </c>
      <c r="E60" s="92" t="s">
        <v>138</v>
      </c>
      <c r="F60" s="92"/>
      <c r="G60" s="92"/>
      <c r="H60" s="92"/>
      <c r="I60" s="92"/>
      <c r="J60" s="92"/>
      <c r="K60" s="92">
        <f t="shared" si="1"/>
        <v>0</v>
      </c>
      <c r="L60" s="92"/>
      <c r="M60" s="92"/>
      <c r="N60" s="92"/>
      <c r="O60" s="92">
        <f t="shared" si="2"/>
        <v>0</v>
      </c>
      <c r="P60" s="92"/>
      <c r="Q60" s="92"/>
      <c r="R60" s="92"/>
      <c r="S60" s="92"/>
    </row>
    <row r="61" ht="15.75" customHeight="1">
      <c r="A61" s="92">
        <v>36.0</v>
      </c>
      <c r="B61" s="92" t="s">
        <v>229</v>
      </c>
      <c r="C61" s="92" t="s">
        <v>69</v>
      </c>
      <c r="D61" s="92" t="s">
        <v>127</v>
      </c>
      <c r="E61" s="92" t="s">
        <v>140</v>
      </c>
      <c r="F61" s="92"/>
      <c r="G61" s="92"/>
      <c r="H61" s="92"/>
      <c r="I61" s="92"/>
      <c r="J61" s="92"/>
      <c r="K61" s="92">
        <f t="shared" si="1"/>
        <v>0</v>
      </c>
      <c r="L61" s="92"/>
      <c r="M61" s="92"/>
      <c r="N61" s="92"/>
      <c r="O61" s="92">
        <f t="shared" si="2"/>
        <v>0</v>
      </c>
      <c r="P61" s="92"/>
      <c r="Q61" s="92"/>
      <c r="R61" s="92"/>
      <c r="S61" s="92"/>
    </row>
    <row r="62" ht="15.75" customHeight="1">
      <c r="A62" s="92">
        <v>37.0</v>
      </c>
      <c r="B62" s="92" t="s">
        <v>231</v>
      </c>
      <c r="C62" s="92" t="s">
        <v>69</v>
      </c>
      <c r="D62" s="92" t="s">
        <v>127</v>
      </c>
      <c r="E62" s="92" t="s">
        <v>144</v>
      </c>
      <c r="F62" s="92"/>
      <c r="G62" s="92"/>
      <c r="H62" s="92"/>
      <c r="I62" s="92"/>
      <c r="J62" s="92"/>
      <c r="K62" s="92">
        <f t="shared" si="1"/>
        <v>0</v>
      </c>
      <c r="L62" s="92"/>
      <c r="M62" s="92"/>
      <c r="N62" s="92"/>
      <c r="O62" s="92">
        <f t="shared" si="2"/>
        <v>0</v>
      </c>
      <c r="P62" s="92"/>
      <c r="Q62" s="92"/>
      <c r="R62" s="92"/>
      <c r="S62" s="92"/>
    </row>
    <row r="63" ht="15.75" customHeight="1">
      <c r="A63" s="92">
        <v>38.0</v>
      </c>
      <c r="B63" s="92" t="s">
        <v>235</v>
      </c>
      <c r="C63" s="92" t="s">
        <v>69</v>
      </c>
      <c r="D63" s="92" t="s">
        <v>127</v>
      </c>
      <c r="E63" s="92" t="s">
        <v>147</v>
      </c>
      <c r="F63" s="92"/>
      <c r="G63" s="92"/>
      <c r="H63" s="92"/>
      <c r="I63" s="92"/>
      <c r="J63" s="92"/>
      <c r="K63" s="92">
        <f t="shared" si="1"/>
        <v>0</v>
      </c>
      <c r="L63" s="92"/>
      <c r="M63" s="92"/>
      <c r="N63" s="92"/>
      <c r="O63" s="92">
        <f t="shared" si="2"/>
        <v>0</v>
      </c>
      <c r="P63" s="92"/>
      <c r="Q63" s="92"/>
      <c r="R63" s="92"/>
      <c r="S63" s="92"/>
    </row>
    <row r="64" ht="15.75" customHeight="1">
      <c r="A64" s="92">
        <v>39.0</v>
      </c>
      <c r="B64" s="92" t="s">
        <v>236</v>
      </c>
      <c r="C64" s="92" t="s">
        <v>69</v>
      </c>
      <c r="D64" s="92" t="s">
        <v>127</v>
      </c>
      <c r="E64" s="92" t="s">
        <v>150</v>
      </c>
      <c r="F64" s="92"/>
      <c r="G64" s="92"/>
      <c r="H64" s="92"/>
      <c r="I64" s="92"/>
      <c r="J64" s="92"/>
      <c r="K64" s="92">
        <f t="shared" si="1"/>
        <v>0</v>
      </c>
      <c r="L64" s="92"/>
      <c r="M64" s="92"/>
      <c r="N64" s="92"/>
      <c r="O64" s="92">
        <f t="shared" si="2"/>
        <v>0</v>
      </c>
      <c r="P64" s="92"/>
      <c r="Q64" s="92"/>
      <c r="R64" s="92"/>
      <c r="S64" s="92"/>
    </row>
    <row r="65" ht="15.75" customHeight="1">
      <c r="A65" s="92">
        <v>40.0</v>
      </c>
      <c r="B65" s="92" t="s">
        <v>238</v>
      </c>
      <c r="C65" s="92" t="s">
        <v>69</v>
      </c>
      <c r="D65" s="92" t="s">
        <v>127</v>
      </c>
      <c r="E65" s="92" t="s">
        <v>156</v>
      </c>
      <c r="F65" s="92"/>
      <c r="G65" s="92"/>
      <c r="H65" s="92"/>
      <c r="I65" s="92"/>
      <c r="J65" s="92"/>
      <c r="K65" s="92">
        <f t="shared" si="1"/>
        <v>0</v>
      </c>
      <c r="L65" s="92"/>
      <c r="M65" s="92"/>
      <c r="N65" s="92"/>
      <c r="O65" s="92">
        <f t="shared" si="2"/>
        <v>0</v>
      </c>
      <c r="P65" s="92"/>
      <c r="Q65" s="92"/>
      <c r="R65" s="92"/>
      <c r="S65" s="92"/>
    </row>
    <row r="66" ht="15.75" customHeight="1">
      <c r="A66" s="92">
        <v>41.0</v>
      </c>
      <c r="B66" s="92" t="s">
        <v>241</v>
      </c>
      <c r="C66" s="92" t="s">
        <v>69</v>
      </c>
      <c r="D66" s="92" t="s">
        <v>127</v>
      </c>
      <c r="E66" s="92" t="s">
        <v>161</v>
      </c>
      <c r="F66" s="92"/>
      <c r="G66" s="92"/>
      <c r="H66" s="92"/>
      <c r="I66" s="92"/>
      <c r="J66" s="92"/>
      <c r="K66" s="92">
        <f t="shared" si="1"/>
        <v>0</v>
      </c>
      <c r="L66" s="92"/>
      <c r="M66" s="92"/>
      <c r="N66" s="92"/>
      <c r="O66" s="92">
        <f t="shared" si="2"/>
        <v>0</v>
      </c>
      <c r="P66" s="92"/>
      <c r="Q66" s="92"/>
      <c r="R66" s="92"/>
      <c r="S66" s="92"/>
    </row>
    <row r="67" ht="15.75" customHeight="1">
      <c r="A67" s="92">
        <v>42.0</v>
      </c>
      <c r="B67" s="92" t="s">
        <v>243</v>
      </c>
      <c r="C67" s="92" t="s">
        <v>69</v>
      </c>
      <c r="D67" s="92" t="s">
        <v>127</v>
      </c>
      <c r="E67" s="92" t="s">
        <v>166</v>
      </c>
      <c r="F67" s="92"/>
      <c r="G67" s="92"/>
      <c r="H67" s="92"/>
      <c r="I67" s="92"/>
      <c r="J67" s="92"/>
      <c r="K67" s="92">
        <f t="shared" si="1"/>
        <v>0</v>
      </c>
      <c r="L67" s="92"/>
      <c r="M67" s="92"/>
      <c r="N67" s="92"/>
      <c r="O67" s="92">
        <f t="shared" si="2"/>
        <v>0</v>
      </c>
      <c r="P67" s="92"/>
      <c r="Q67" s="92"/>
      <c r="R67" s="92"/>
      <c r="S67" s="92"/>
    </row>
    <row r="68" ht="15.75" customHeight="1">
      <c r="A68" s="92">
        <v>43.0</v>
      </c>
      <c r="B68" s="92" t="s">
        <v>246</v>
      </c>
      <c r="C68" s="92" t="s">
        <v>69</v>
      </c>
      <c r="D68" s="92" t="s">
        <v>127</v>
      </c>
      <c r="E68" s="92" t="s">
        <v>171</v>
      </c>
      <c r="F68" s="92"/>
      <c r="G68" s="92"/>
      <c r="H68" s="92"/>
      <c r="I68" s="92"/>
      <c r="J68" s="92"/>
      <c r="K68" s="92">
        <f t="shared" si="1"/>
        <v>0</v>
      </c>
      <c r="L68" s="92"/>
      <c r="M68" s="92"/>
      <c r="N68" s="92"/>
      <c r="O68" s="92">
        <f t="shared" si="2"/>
        <v>0</v>
      </c>
      <c r="P68" s="92"/>
      <c r="Q68" s="92"/>
      <c r="R68" s="92"/>
      <c r="S68" s="92"/>
    </row>
    <row r="69" ht="15.75" customHeight="1">
      <c r="A69" s="92">
        <v>44.0</v>
      </c>
      <c r="B69" s="92" t="s">
        <v>248</v>
      </c>
      <c r="C69" s="92" t="s">
        <v>69</v>
      </c>
      <c r="D69" s="92" t="s">
        <v>127</v>
      </c>
      <c r="E69" s="92" t="s">
        <v>176</v>
      </c>
      <c r="F69" s="92"/>
      <c r="G69" s="92"/>
      <c r="H69" s="92"/>
      <c r="I69" s="92"/>
      <c r="J69" s="92"/>
      <c r="K69" s="92">
        <f t="shared" si="1"/>
        <v>0</v>
      </c>
      <c r="L69" s="92"/>
      <c r="M69" s="92"/>
      <c r="N69" s="92"/>
      <c r="O69" s="92">
        <f t="shared" si="2"/>
        <v>0</v>
      </c>
      <c r="P69" s="92"/>
      <c r="Q69" s="92"/>
      <c r="R69" s="92"/>
      <c r="S69" s="92"/>
    </row>
    <row r="70" ht="15.75" customHeight="1">
      <c r="A70" s="92">
        <v>45.0</v>
      </c>
      <c r="B70" s="92" t="s">
        <v>250</v>
      </c>
      <c r="C70" s="92" t="s">
        <v>69</v>
      </c>
      <c r="D70" s="92" t="s">
        <v>127</v>
      </c>
      <c r="E70" s="92" t="s">
        <v>179</v>
      </c>
      <c r="F70" s="92"/>
      <c r="G70" s="92"/>
      <c r="H70" s="92"/>
      <c r="I70" s="92"/>
      <c r="J70" s="92"/>
      <c r="K70" s="92">
        <f t="shared" si="1"/>
        <v>0</v>
      </c>
      <c r="L70" s="92"/>
      <c r="M70" s="92"/>
      <c r="N70" s="92"/>
      <c r="O70" s="92">
        <f t="shared" si="2"/>
        <v>0</v>
      </c>
      <c r="P70" s="92"/>
      <c r="Q70" s="92"/>
      <c r="R70" s="92"/>
      <c r="S70" s="92"/>
    </row>
    <row r="71" ht="15.75" customHeight="1">
      <c r="A71" s="92">
        <v>46.0</v>
      </c>
      <c r="B71" s="92" t="s">
        <v>251</v>
      </c>
      <c r="C71" s="92" t="s">
        <v>69</v>
      </c>
      <c r="D71" s="92" t="s">
        <v>127</v>
      </c>
      <c r="E71" s="92" t="s">
        <v>182</v>
      </c>
      <c r="F71" s="92"/>
      <c r="G71" s="92"/>
      <c r="H71" s="92"/>
      <c r="I71" s="92"/>
      <c r="J71" s="92"/>
      <c r="K71" s="92">
        <f t="shared" si="1"/>
        <v>0</v>
      </c>
      <c r="L71" s="92"/>
      <c r="M71" s="92"/>
      <c r="N71" s="92"/>
      <c r="O71" s="92">
        <f t="shared" si="2"/>
        <v>0</v>
      </c>
      <c r="P71" s="92"/>
      <c r="Q71" s="92"/>
      <c r="R71" s="92"/>
      <c r="S71" s="92"/>
    </row>
    <row r="72" ht="15.75" customHeight="1">
      <c r="A72" s="92">
        <v>47.0</v>
      </c>
      <c r="B72" s="92" t="s">
        <v>253</v>
      </c>
      <c r="C72" s="92" t="s">
        <v>72</v>
      </c>
      <c r="D72" s="92" t="s">
        <v>127</v>
      </c>
      <c r="E72" s="92" t="s">
        <v>57</v>
      </c>
      <c r="F72" s="92"/>
      <c r="G72" s="92"/>
      <c r="H72" s="92"/>
      <c r="I72" s="92"/>
      <c r="J72" s="92"/>
      <c r="K72" s="92">
        <f t="shared" si="1"/>
        <v>0</v>
      </c>
      <c r="L72" s="92"/>
      <c r="M72" s="92"/>
      <c r="N72" s="92"/>
      <c r="O72" s="92">
        <f t="shared" si="2"/>
        <v>0</v>
      </c>
      <c r="P72" s="92"/>
      <c r="Q72" s="92"/>
      <c r="R72" s="92"/>
      <c r="S72" s="92"/>
    </row>
    <row r="73" ht="15.75" customHeight="1">
      <c r="A73" s="92">
        <v>48.0</v>
      </c>
      <c r="B73" s="92" t="s">
        <v>254</v>
      </c>
      <c r="C73" s="92" t="s">
        <v>72</v>
      </c>
      <c r="D73" s="92" t="s">
        <v>127</v>
      </c>
      <c r="E73" s="92" t="s">
        <v>132</v>
      </c>
      <c r="F73" s="92"/>
      <c r="G73" s="92"/>
      <c r="H73" s="92"/>
      <c r="I73" s="92"/>
      <c r="J73" s="92"/>
      <c r="K73" s="92">
        <f t="shared" si="1"/>
        <v>0</v>
      </c>
      <c r="L73" s="92"/>
      <c r="M73" s="92"/>
      <c r="N73" s="92"/>
      <c r="O73" s="92">
        <f t="shared" si="2"/>
        <v>0</v>
      </c>
      <c r="P73" s="92"/>
      <c r="Q73" s="92"/>
      <c r="R73" s="92"/>
      <c r="S73" s="92"/>
    </row>
    <row r="74" ht="15.75" customHeight="1">
      <c r="A74" s="92">
        <v>49.0</v>
      </c>
      <c r="B74" s="92" t="s">
        <v>255</v>
      </c>
      <c r="C74" s="92" t="s">
        <v>72</v>
      </c>
      <c r="D74" s="92" t="s">
        <v>127</v>
      </c>
      <c r="E74" s="92" t="s">
        <v>138</v>
      </c>
      <c r="F74" s="92"/>
      <c r="G74" s="92"/>
      <c r="H74" s="92"/>
      <c r="I74" s="92"/>
      <c r="J74" s="92"/>
      <c r="K74" s="92">
        <f t="shared" si="1"/>
        <v>0</v>
      </c>
      <c r="L74" s="92"/>
      <c r="M74" s="92"/>
      <c r="N74" s="92"/>
      <c r="O74" s="92">
        <f t="shared" si="2"/>
        <v>0</v>
      </c>
      <c r="P74" s="92"/>
      <c r="Q74" s="92"/>
      <c r="R74" s="92"/>
      <c r="S74" s="92"/>
    </row>
    <row r="75" ht="15.75" customHeight="1">
      <c r="A75" s="92">
        <v>50.0</v>
      </c>
      <c r="B75" s="92" t="s">
        <v>256</v>
      </c>
      <c r="C75" s="92" t="s">
        <v>72</v>
      </c>
      <c r="D75" s="92" t="s">
        <v>127</v>
      </c>
      <c r="E75" s="92" t="s">
        <v>140</v>
      </c>
      <c r="F75" s="92"/>
      <c r="G75" s="92"/>
      <c r="H75" s="92"/>
      <c r="I75" s="92"/>
      <c r="J75" s="92"/>
      <c r="K75" s="92">
        <f t="shared" si="1"/>
        <v>0</v>
      </c>
      <c r="L75" s="92"/>
      <c r="M75" s="92"/>
      <c r="N75" s="92"/>
      <c r="O75" s="92">
        <f t="shared" si="2"/>
        <v>0</v>
      </c>
      <c r="P75" s="92"/>
      <c r="Q75" s="92"/>
      <c r="R75" s="92"/>
      <c r="S75" s="92"/>
    </row>
    <row r="76" ht="15.75" customHeight="1">
      <c r="A76" s="92">
        <v>51.0</v>
      </c>
      <c r="B76" s="92" t="s">
        <v>257</v>
      </c>
      <c r="C76" s="92" t="s">
        <v>72</v>
      </c>
      <c r="D76" s="92" t="s">
        <v>127</v>
      </c>
      <c r="E76" s="92" t="s">
        <v>144</v>
      </c>
      <c r="F76" s="92"/>
      <c r="G76" s="92"/>
      <c r="H76" s="92"/>
      <c r="I76" s="92"/>
      <c r="J76" s="92"/>
      <c r="K76" s="92">
        <f t="shared" si="1"/>
        <v>0</v>
      </c>
      <c r="L76" s="92"/>
      <c r="M76" s="92"/>
      <c r="N76" s="92"/>
      <c r="O76" s="92">
        <f t="shared" si="2"/>
        <v>0</v>
      </c>
      <c r="P76" s="92"/>
      <c r="Q76" s="92"/>
      <c r="R76" s="92"/>
      <c r="S76" s="92"/>
    </row>
    <row r="77" ht="15.75" customHeight="1">
      <c r="A77" s="92">
        <v>52.0</v>
      </c>
      <c r="B77" s="92" t="s">
        <v>258</v>
      </c>
      <c r="C77" s="92" t="s">
        <v>72</v>
      </c>
      <c r="D77" s="92" t="s">
        <v>127</v>
      </c>
      <c r="E77" s="92" t="s">
        <v>147</v>
      </c>
      <c r="F77" s="92"/>
      <c r="G77" s="92"/>
      <c r="H77" s="92"/>
      <c r="I77" s="92"/>
      <c r="J77" s="92"/>
      <c r="K77" s="92">
        <f t="shared" si="1"/>
        <v>0</v>
      </c>
      <c r="L77" s="92"/>
      <c r="M77" s="92"/>
      <c r="N77" s="92"/>
      <c r="O77" s="92">
        <f t="shared" si="2"/>
        <v>0</v>
      </c>
      <c r="P77" s="92"/>
      <c r="Q77" s="92"/>
      <c r="R77" s="92"/>
      <c r="S77" s="92"/>
    </row>
    <row r="78" ht="15.75" customHeight="1">
      <c r="A78" s="92">
        <v>53.0</v>
      </c>
      <c r="B78" s="92" t="s">
        <v>259</v>
      </c>
      <c r="C78" s="92" t="s">
        <v>72</v>
      </c>
      <c r="D78" s="92" t="s">
        <v>127</v>
      </c>
      <c r="E78" s="92" t="s">
        <v>150</v>
      </c>
      <c r="F78" s="92"/>
      <c r="G78" s="92"/>
      <c r="H78" s="92"/>
      <c r="I78" s="92"/>
      <c r="J78" s="92"/>
      <c r="K78" s="92">
        <f t="shared" si="1"/>
        <v>0</v>
      </c>
      <c r="L78" s="92"/>
      <c r="M78" s="92"/>
      <c r="N78" s="92"/>
      <c r="O78" s="92">
        <f t="shared" si="2"/>
        <v>0</v>
      </c>
      <c r="P78" s="92"/>
      <c r="Q78" s="92"/>
      <c r="R78" s="92"/>
      <c r="S78" s="92"/>
    </row>
    <row r="79" ht="15.75" customHeight="1">
      <c r="A79" s="92">
        <v>54.0</v>
      </c>
      <c r="B79" s="92" t="s">
        <v>260</v>
      </c>
      <c r="C79" s="92" t="s">
        <v>72</v>
      </c>
      <c r="D79" s="92" t="s">
        <v>127</v>
      </c>
      <c r="E79" s="92" t="s">
        <v>156</v>
      </c>
      <c r="F79" s="92"/>
      <c r="G79" s="92"/>
      <c r="H79" s="92"/>
      <c r="I79" s="92"/>
      <c r="J79" s="92"/>
      <c r="K79" s="92">
        <f t="shared" si="1"/>
        <v>0</v>
      </c>
      <c r="L79" s="92"/>
      <c r="M79" s="92"/>
      <c r="N79" s="92"/>
      <c r="O79" s="92">
        <f t="shared" si="2"/>
        <v>0</v>
      </c>
      <c r="P79" s="92"/>
      <c r="Q79" s="92"/>
      <c r="R79" s="92"/>
      <c r="S79" s="92"/>
    </row>
    <row r="80" ht="15.75" customHeight="1">
      <c r="A80" s="92">
        <v>55.0</v>
      </c>
      <c r="B80" s="92" t="s">
        <v>261</v>
      </c>
      <c r="C80" s="92" t="s">
        <v>72</v>
      </c>
      <c r="D80" s="92" t="s">
        <v>127</v>
      </c>
      <c r="E80" s="92" t="s">
        <v>161</v>
      </c>
      <c r="F80" s="92"/>
      <c r="G80" s="92"/>
      <c r="H80" s="92"/>
      <c r="I80" s="92"/>
      <c r="J80" s="92"/>
      <c r="K80" s="92">
        <f t="shared" si="1"/>
        <v>0</v>
      </c>
      <c r="L80" s="92"/>
      <c r="M80" s="92"/>
      <c r="N80" s="92"/>
      <c r="O80" s="92">
        <f t="shared" si="2"/>
        <v>0</v>
      </c>
      <c r="P80" s="92"/>
      <c r="Q80" s="92"/>
      <c r="R80" s="92"/>
      <c r="S80" s="92"/>
    </row>
    <row r="81" ht="15.75" customHeight="1">
      <c r="A81" s="92">
        <v>56.0</v>
      </c>
      <c r="B81" s="92" t="s">
        <v>262</v>
      </c>
      <c r="C81" s="92" t="s">
        <v>72</v>
      </c>
      <c r="D81" s="92" t="s">
        <v>127</v>
      </c>
      <c r="E81" s="92" t="s">
        <v>166</v>
      </c>
      <c r="F81" s="92"/>
      <c r="G81" s="92"/>
      <c r="H81" s="92"/>
      <c r="I81" s="92"/>
      <c r="J81" s="92"/>
      <c r="K81" s="92">
        <f t="shared" si="1"/>
        <v>0</v>
      </c>
      <c r="L81" s="92"/>
      <c r="M81" s="92"/>
      <c r="N81" s="92"/>
      <c r="O81" s="92">
        <f t="shared" si="2"/>
        <v>0</v>
      </c>
      <c r="P81" s="92"/>
      <c r="Q81" s="92"/>
      <c r="R81" s="92"/>
      <c r="S81" s="92"/>
    </row>
    <row r="82" ht="15.75" customHeight="1">
      <c r="A82" s="92">
        <v>57.0</v>
      </c>
      <c r="B82" s="92" t="s">
        <v>263</v>
      </c>
      <c r="C82" s="92" t="s">
        <v>72</v>
      </c>
      <c r="D82" s="92" t="s">
        <v>127</v>
      </c>
      <c r="E82" s="92" t="s">
        <v>171</v>
      </c>
      <c r="F82" s="92"/>
      <c r="G82" s="92"/>
      <c r="H82" s="92"/>
      <c r="I82" s="92"/>
      <c r="J82" s="92"/>
      <c r="K82" s="92">
        <f t="shared" si="1"/>
        <v>0</v>
      </c>
      <c r="L82" s="92"/>
      <c r="M82" s="92"/>
      <c r="N82" s="92"/>
      <c r="O82" s="92">
        <f t="shared" si="2"/>
        <v>0</v>
      </c>
      <c r="P82" s="92"/>
      <c r="Q82" s="92"/>
      <c r="R82" s="92"/>
      <c r="S82" s="92"/>
    </row>
    <row r="83" ht="15.75" customHeight="1">
      <c r="A83" s="92">
        <v>58.0</v>
      </c>
      <c r="B83" s="92" t="s">
        <v>265</v>
      </c>
      <c r="C83" s="92" t="s">
        <v>72</v>
      </c>
      <c r="D83" s="92" t="s">
        <v>127</v>
      </c>
      <c r="E83" s="92" t="s">
        <v>176</v>
      </c>
      <c r="F83" s="92"/>
      <c r="G83" s="92"/>
      <c r="H83" s="92"/>
      <c r="I83" s="92"/>
      <c r="J83" s="92"/>
      <c r="K83" s="92">
        <f t="shared" si="1"/>
        <v>0</v>
      </c>
      <c r="L83" s="92"/>
      <c r="M83" s="92"/>
      <c r="N83" s="92"/>
      <c r="O83" s="92">
        <f t="shared" si="2"/>
        <v>0</v>
      </c>
      <c r="P83" s="92"/>
      <c r="Q83" s="92"/>
      <c r="R83" s="92"/>
      <c r="S83" s="92"/>
    </row>
    <row r="84" ht="15.75" customHeight="1">
      <c r="A84" s="92">
        <v>59.0</v>
      </c>
      <c r="B84" s="92" t="s">
        <v>267</v>
      </c>
      <c r="C84" s="92" t="s">
        <v>72</v>
      </c>
      <c r="D84" s="92" t="s">
        <v>127</v>
      </c>
      <c r="E84" s="92" t="s">
        <v>179</v>
      </c>
      <c r="F84" s="92"/>
      <c r="G84" s="92"/>
      <c r="H84" s="92"/>
      <c r="I84" s="92"/>
      <c r="J84" s="92"/>
      <c r="K84" s="92">
        <f t="shared" si="1"/>
        <v>0</v>
      </c>
      <c r="L84" s="92"/>
      <c r="M84" s="92"/>
      <c r="N84" s="92"/>
      <c r="O84" s="92">
        <f t="shared" si="2"/>
        <v>0</v>
      </c>
      <c r="P84" s="92"/>
      <c r="Q84" s="92"/>
      <c r="R84" s="92"/>
      <c r="S84" s="92"/>
    </row>
    <row r="85" ht="15.75" customHeight="1">
      <c r="A85" s="92">
        <v>60.0</v>
      </c>
      <c r="B85" s="92" t="s">
        <v>268</v>
      </c>
      <c r="C85" s="92" t="s">
        <v>72</v>
      </c>
      <c r="D85" s="92" t="s">
        <v>127</v>
      </c>
      <c r="E85" s="92" t="s">
        <v>182</v>
      </c>
      <c r="F85" s="92"/>
      <c r="G85" s="92"/>
      <c r="H85" s="92"/>
      <c r="I85" s="92"/>
      <c r="J85" s="92"/>
      <c r="K85" s="92">
        <f t="shared" si="1"/>
        <v>0</v>
      </c>
      <c r="L85" s="92"/>
      <c r="M85" s="92"/>
      <c r="N85" s="92"/>
      <c r="O85" s="92">
        <f t="shared" si="2"/>
        <v>0</v>
      </c>
      <c r="P85" s="92"/>
      <c r="Q85" s="92"/>
      <c r="R85" s="92"/>
      <c r="S85" s="92"/>
    </row>
    <row r="86" ht="15.75" customHeight="1">
      <c r="A86" s="93">
        <v>61.0</v>
      </c>
      <c r="B86" s="93" t="s">
        <v>288</v>
      </c>
      <c r="C86" s="93" t="s">
        <v>55</v>
      </c>
      <c r="D86" s="93" t="s">
        <v>289</v>
      </c>
      <c r="E86" s="93" t="s">
        <v>57</v>
      </c>
      <c r="F86" s="93"/>
      <c r="G86" s="93"/>
      <c r="H86" s="93"/>
      <c r="I86" s="93"/>
      <c r="J86" s="93"/>
      <c r="K86" s="93">
        <f t="shared" si="1"/>
        <v>0</v>
      </c>
      <c r="L86" s="93"/>
      <c r="M86" s="93"/>
      <c r="N86" s="93"/>
      <c r="O86" s="93">
        <f t="shared" si="2"/>
        <v>0</v>
      </c>
      <c r="P86" s="93"/>
      <c r="Q86" s="93"/>
      <c r="R86" s="93"/>
      <c r="S86" s="93"/>
    </row>
    <row r="87" ht="15.75" customHeight="1">
      <c r="A87" s="93">
        <v>62.0</v>
      </c>
      <c r="B87" s="93" t="s">
        <v>292</v>
      </c>
      <c r="C87" s="93" t="s">
        <v>55</v>
      </c>
      <c r="D87" s="93" t="s">
        <v>289</v>
      </c>
      <c r="E87" s="93" t="s">
        <v>57</v>
      </c>
      <c r="F87" s="93"/>
      <c r="G87" s="93"/>
      <c r="H87" s="93"/>
      <c r="I87" s="93"/>
      <c r="J87" s="93"/>
      <c r="K87" s="93">
        <f t="shared" si="1"/>
        <v>0</v>
      </c>
      <c r="L87" s="93"/>
      <c r="M87" s="93"/>
      <c r="N87" s="93"/>
      <c r="O87" s="93">
        <f t="shared" si="2"/>
        <v>0</v>
      </c>
      <c r="P87" s="93"/>
      <c r="Q87" s="93"/>
      <c r="R87" s="93"/>
      <c r="S87" s="93"/>
    </row>
    <row r="88" ht="15.75" customHeight="1">
      <c r="A88" s="93">
        <v>63.0</v>
      </c>
      <c r="B88" s="93" t="s">
        <v>295</v>
      </c>
      <c r="C88" s="93" t="s">
        <v>55</v>
      </c>
      <c r="D88" s="93" t="s">
        <v>289</v>
      </c>
      <c r="E88" s="93" t="s">
        <v>57</v>
      </c>
      <c r="F88" s="93"/>
      <c r="G88" s="93"/>
      <c r="H88" s="93"/>
      <c r="I88" s="93"/>
      <c r="J88" s="93"/>
      <c r="K88" s="93">
        <f t="shared" si="1"/>
        <v>0</v>
      </c>
      <c r="L88" s="93"/>
      <c r="M88" s="93"/>
      <c r="N88" s="93"/>
      <c r="O88" s="93">
        <f t="shared" si="2"/>
        <v>0</v>
      </c>
      <c r="P88" s="93"/>
      <c r="Q88" s="93"/>
      <c r="R88" s="93"/>
      <c r="S88" s="93"/>
    </row>
    <row r="89" ht="15.75" customHeight="1">
      <c r="A89" s="93">
        <v>64.0</v>
      </c>
      <c r="B89" s="93" t="s">
        <v>297</v>
      </c>
      <c r="C89" s="93" t="s">
        <v>55</v>
      </c>
      <c r="D89" s="93" t="s">
        <v>289</v>
      </c>
      <c r="E89" s="93" t="s">
        <v>57</v>
      </c>
      <c r="F89" s="93"/>
      <c r="G89" s="93"/>
      <c r="H89" s="93"/>
      <c r="I89" s="93"/>
      <c r="J89" s="93"/>
      <c r="K89" s="93">
        <f t="shared" si="1"/>
        <v>0</v>
      </c>
      <c r="L89" s="93"/>
      <c r="M89" s="93"/>
      <c r="N89" s="93"/>
      <c r="O89" s="93">
        <f t="shared" si="2"/>
        <v>0</v>
      </c>
      <c r="P89" s="93"/>
      <c r="Q89" s="93"/>
      <c r="R89" s="93"/>
      <c r="S89" s="93"/>
    </row>
    <row r="90" ht="15.75" customHeight="1">
      <c r="A90" s="93">
        <v>65.0</v>
      </c>
      <c r="B90" s="93" t="s">
        <v>300</v>
      </c>
      <c r="C90" s="93" t="s">
        <v>55</v>
      </c>
      <c r="D90" s="93" t="s">
        <v>289</v>
      </c>
      <c r="E90" s="93" t="s">
        <v>57</v>
      </c>
      <c r="F90" s="93"/>
      <c r="G90" s="93"/>
      <c r="H90" s="93"/>
      <c r="I90" s="93"/>
      <c r="J90" s="93"/>
      <c r="K90" s="93">
        <f t="shared" si="1"/>
        <v>0</v>
      </c>
      <c r="L90" s="93"/>
      <c r="M90" s="93"/>
      <c r="N90" s="93"/>
      <c r="O90" s="93">
        <f t="shared" si="2"/>
        <v>0</v>
      </c>
      <c r="P90" s="93"/>
      <c r="Q90" s="93"/>
      <c r="R90" s="93"/>
      <c r="S90" s="93"/>
    </row>
    <row r="91" ht="15.75" customHeight="1">
      <c r="A91" s="93">
        <v>66.0</v>
      </c>
      <c r="B91" s="93" t="s">
        <v>302</v>
      </c>
      <c r="C91" s="93" t="s">
        <v>55</v>
      </c>
      <c r="D91" s="93" t="s">
        <v>289</v>
      </c>
      <c r="E91" s="93" t="s">
        <v>57</v>
      </c>
      <c r="F91" s="93"/>
      <c r="G91" s="93"/>
      <c r="H91" s="93"/>
      <c r="I91" s="93"/>
      <c r="J91" s="93"/>
      <c r="K91" s="93">
        <f t="shared" si="1"/>
        <v>0</v>
      </c>
      <c r="L91" s="93"/>
      <c r="M91" s="93"/>
      <c r="N91" s="93"/>
      <c r="O91" s="93">
        <f t="shared" si="2"/>
        <v>0</v>
      </c>
      <c r="P91" s="93"/>
      <c r="Q91" s="93"/>
      <c r="R91" s="93"/>
      <c r="S91" s="93"/>
    </row>
    <row r="92" ht="15.75" customHeight="1">
      <c r="A92" s="93">
        <v>67.0</v>
      </c>
      <c r="B92" s="93" t="s">
        <v>305</v>
      </c>
      <c r="C92" s="93" t="s">
        <v>55</v>
      </c>
      <c r="D92" s="93" t="s">
        <v>289</v>
      </c>
      <c r="E92" s="93" t="s">
        <v>57</v>
      </c>
      <c r="F92" s="93"/>
      <c r="G92" s="93"/>
      <c r="H92" s="93"/>
      <c r="I92" s="93"/>
      <c r="J92" s="93"/>
      <c r="K92" s="93">
        <f t="shared" si="1"/>
        <v>0</v>
      </c>
      <c r="L92" s="93"/>
      <c r="M92" s="93"/>
      <c r="N92" s="93"/>
      <c r="O92" s="93">
        <f t="shared" si="2"/>
        <v>0</v>
      </c>
      <c r="P92" s="93"/>
      <c r="Q92" s="93"/>
      <c r="R92" s="93"/>
      <c r="S92" s="93"/>
    </row>
    <row r="93" ht="15.75" customHeight="1">
      <c r="A93" s="93">
        <v>68.0</v>
      </c>
      <c r="B93" s="93" t="s">
        <v>307</v>
      </c>
      <c r="C93" s="93" t="s">
        <v>55</v>
      </c>
      <c r="D93" s="93" t="s">
        <v>289</v>
      </c>
      <c r="E93" s="93" t="s">
        <v>57</v>
      </c>
      <c r="F93" s="93"/>
      <c r="G93" s="93"/>
      <c r="H93" s="93"/>
      <c r="I93" s="93"/>
      <c r="J93" s="93"/>
      <c r="K93" s="93">
        <f t="shared" si="1"/>
        <v>0</v>
      </c>
      <c r="L93" s="93"/>
      <c r="M93" s="93"/>
      <c r="N93" s="93"/>
      <c r="O93" s="93">
        <f t="shared" si="2"/>
        <v>0</v>
      </c>
      <c r="P93" s="93"/>
      <c r="Q93" s="93"/>
      <c r="R93" s="93"/>
      <c r="S93" s="93"/>
    </row>
    <row r="94" ht="15.75" customHeight="1">
      <c r="A94" s="93">
        <v>69.0</v>
      </c>
      <c r="B94" s="93" t="s">
        <v>308</v>
      </c>
      <c r="C94" s="93" t="s">
        <v>55</v>
      </c>
      <c r="D94" s="93" t="s">
        <v>289</v>
      </c>
      <c r="E94" s="93" t="s">
        <v>57</v>
      </c>
      <c r="F94" s="94" t="s">
        <v>63</v>
      </c>
      <c r="G94" s="94">
        <v>1.0</v>
      </c>
      <c r="H94" s="94">
        <v>2.0</v>
      </c>
      <c r="I94" s="93"/>
      <c r="J94" s="93"/>
      <c r="K94" s="93">
        <f t="shared" si="1"/>
        <v>0</v>
      </c>
      <c r="L94" s="93"/>
      <c r="M94" s="93"/>
      <c r="N94" s="93"/>
      <c r="O94" s="93">
        <f t="shared" si="2"/>
        <v>0</v>
      </c>
      <c r="P94" s="93"/>
      <c r="Q94" s="93"/>
      <c r="R94" s="93"/>
      <c r="S94" s="93"/>
    </row>
    <row r="95" ht="15.75" customHeight="1">
      <c r="A95" s="93">
        <v>70.0</v>
      </c>
      <c r="B95" s="93" t="s">
        <v>313</v>
      </c>
      <c r="C95" s="93" t="s">
        <v>55</v>
      </c>
      <c r="D95" s="93" t="s">
        <v>289</v>
      </c>
      <c r="E95" s="93" t="s">
        <v>57</v>
      </c>
      <c r="F95" s="93"/>
      <c r="G95" s="93"/>
      <c r="H95" s="93"/>
      <c r="I95" s="93"/>
      <c r="J95" s="93"/>
      <c r="K95" s="93">
        <f t="shared" si="1"/>
        <v>0</v>
      </c>
      <c r="L95" s="93"/>
      <c r="M95" s="93"/>
      <c r="N95" s="93"/>
      <c r="O95" s="93">
        <f t="shared" si="2"/>
        <v>0</v>
      </c>
      <c r="P95" s="93"/>
      <c r="Q95" s="93"/>
      <c r="R95" s="93"/>
      <c r="S95" s="93"/>
    </row>
    <row r="96" ht="15.75" customHeight="1">
      <c r="A96" s="93">
        <v>71.0</v>
      </c>
      <c r="B96" s="93" t="s">
        <v>316</v>
      </c>
      <c r="C96" s="93" t="s">
        <v>55</v>
      </c>
      <c r="D96" s="93" t="s">
        <v>289</v>
      </c>
      <c r="E96" s="93" t="s">
        <v>57</v>
      </c>
      <c r="F96" s="93"/>
      <c r="G96" s="93"/>
      <c r="H96" s="93"/>
      <c r="I96" s="93"/>
      <c r="J96" s="93"/>
      <c r="K96" s="93">
        <f t="shared" si="1"/>
        <v>0</v>
      </c>
      <c r="L96" s="93"/>
      <c r="M96" s="93"/>
      <c r="N96" s="93"/>
      <c r="O96" s="93">
        <f t="shared" si="2"/>
        <v>0</v>
      </c>
      <c r="P96" s="93"/>
      <c r="Q96" s="93"/>
      <c r="R96" s="93"/>
      <c r="S96" s="93"/>
    </row>
    <row r="97" ht="15.75" customHeight="1">
      <c r="A97" s="93">
        <v>72.0</v>
      </c>
      <c r="B97" s="93" t="s">
        <v>319</v>
      </c>
      <c r="C97" s="93" t="s">
        <v>55</v>
      </c>
      <c r="D97" s="93" t="s">
        <v>289</v>
      </c>
      <c r="E97" s="93" t="s">
        <v>57</v>
      </c>
      <c r="F97" s="93"/>
      <c r="G97" s="93"/>
      <c r="H97" s="93"/>
      <c r="I97" s="93"/>
      <c r="J97" s="93"/>
      <c r="K97" s="93">
        <f t="shared" si="1"/>
        <v>0</v>
      </c>
      <c r="L97" s="93"/>
      <c r="M97" s="93"/>
      <c r="N97" s="93"/>
      <c r="O97" s="93">
        <f t="shared" si="2"/>
        <v>0</v>
      </c>
      <c r="P97" s="93"/>
      <c r="Q97" s="93"/>
      <c r="R97" s="93"/>
      <c r="S97" s="93"/>
    </row>
    <row r="98" ht="15.75" customHeight="1">
      <c r="A98" s="93">
        <v>73.0</v>
      </c>
      <c r="B98" s="93" t="s">
        <v>320</v>
      </c>
      <c r="C98" s="93" t="s">
        <v>55</v>
      </c>
      <c r="D98" s="93" t="s">
        <v>289</v>
      </c>
      <c r="E98" s="93" t="s">
        <v>57</v>
      </c>
      <c r="F98" s="93"/>
      <c r="G98" s="93"/>
      <c r="H98" s="93"/>
      <c r="I98" s="93"/>
      <c r="J98" s="93"/>
      <c r="K98" s="93">
        <f t="shared" si="1"/>
        <v>0</v>
      </c>
      <c r="L98" s="93"/>
      <c r="M98" s="93"/>
      <c r="N98" s="93"/>
      <c r="O98" s="93">
        <f t="shared" si="2"/>
        <v>0</v>
      </c>
      <c r="P98" s="93"/>
      <c r="Q98" s="93"/>
      <c r="R98" s="93"/>
      <c r="S98" s="93"/>
    </row>
    <row r="99" ht="15.75" customHeight="1">
      <c r="A99" s="93">
        <v>74.0</v>
      </c>
      <c r="B99" s="93" t="s">
        <v>321</v>
      </c>
      <c r="C99" s="93" t="s">
        <v>55</v>
      </c>
      <c r="D99" s="93" t="s">
        <v>289</v>
      </c>
      <c r="E99" s="93" t="s">
        <v>57</v>
      </c>
      <c r="F99" s="93"/>
      <c r="G99" s="93"/>
      <c r="H99" s="93"/>
      <c r="I99" s="93"/>
      <c r="J99" s="93"/>
      <c r="K99" s="93">
        <f t="shared" si="1"/>
        <v>0</v>
      </c>
      <c r="L99" s="93"/>
      <c r="M99" s="93"/>
      <c r="N99" s="93"/>
      <c r="O99" s="93">
        <f t="shared" si="2"/>
        <v>0</v>
      </c>
      <c r="P99" s="93"/>
      <c r="Q99" s="93"/>
      <c r="R99" s="93"/>
      <c r="S99" s="93"/>
    </row>
    <row r="100" ht="15.75" customHeight="1">
      <c r="A100" s="93">
        <v>75.0</v>
      </c>
      <c r="B100" s="93" t="s">
        <v>324</v>
      </c>
      <c r="C100" s="93" t="s">
        <v>55</v>
      </c>
      <c r="D100" s="93" t="s">
        <v>289</v>
      </c>
      <c r="E100" s="93" t="s">
        <v>57</v>
      </c>
      <c r="F100" s="93"/>
      <c r="G100" s="93"/>
      <c r="H100" s="93"/>
      <c r="I100" s="93"/>
      <c r="J100" s="93"/>
      <c r="K100" s="93">
        <f t="shared" si="1"/>
        <v>0</v>
      </c>
      <c r="L100" s="93"/>
      <c r="M100" s="93"/>
      <c r="N100" s="93"/>
      <c r="O100" s="93">
        <f t="shared" si="2"/>
        <v>0</v>
      </c>
      <c r="P100" s="93"/>
      <c r="Q100" s="93"/>
      <c r="R100" s="93"/>
      <c r="S100" s="93"/>
    </row>
    <row r="101" ht="15.75" customHeight="1">
      <c r="A101" s="93">
        <v>76.0</v>
      </c>
      <c r="B101" s="93" t="s">
        <v>325</v>
      </c>
      <c r="C101" s="93" t="s">
        <v>55</v>
      </c>
      <c r="D101" s="93" t="s">
        <v>289</v>
      </c>
      <c r="E101" s="93" t="s">
        <v>57</v>
      </c>
      <c r="F101" s="93"/>
      <c r="G101" s="93"/>
      <c r="H101" s="93"/>
      <c r="I101" s="93"/>
      <c r="J101" s="93"/>
      <c r="K101" s="93">
        <f t="shared" si="1"/>
        <v>0</v>
      </c>
      <c r="L101" s="93"/>
      <c r="M101" s="93"/>
      <c r="N101" s="93"/>
      <c r="O101" s="93">
        <f t="shared" si="2"/>
        <v>0</v>
      </c>
      <c r="P101" s="93"/>
      <c r="Q101" s="93"/>
      <c r="R101" s="93"/>
      <c r="S101" s="93"/>
    </row>
    <row r="102" ht="15.75" customHeight="1">
      <c r="A102" s="93">
        <v>77.0</v>
      </c>
      <c r="B102" s="93" t="s">
        <v>326</v>
      </c>
      <c r="C102" s="93" t="s">
        <v>55</v>
      </c>
      <c r="D102" s="93" t="s">
        <v>289</v>
      </c>
      <c r="E102" s="93" t="s">
        <v>57</v>
      </c>
      <c r="F102" s="93"/>
      <c r="G102" s="93"/>
      <c r="H102" s="93"/>
      <c r="I102" s="93"/>
      <c r="J102" s="93"/>
      <c r="K102" s="93">
        <f t="shared" si="1"/>
        <v>0</v>
      </c>
      <c r="L102" s="93"/>
      <c r="M102" s="93"/>
      <c r="N102" s="93"/>
      <c r="O102" s="93">
        <f t="shared" si="2"/>
        <v>0</v>
      </c>
      <c r="P102" s="93"/>
      <c r="Q102" s="93"/>
      <c r="R102" s="93"/>
      <c r="S102" s="93"/>
    </row>
    <row r="103" ht="15.75" customHeight="1">
      <c r="A103" s="93">
        <v>78.0</v>
      </c>
      <c r="B103" s="93" t="s">
        <v>327</v>
      </c>
      <c r="C103" s="93" t="s">
        <v>55</v>
      </c>
      <c r="D103" s="93" t="s">
        <v>289</v>
      </c>
      <c r="E103" s="93" t="s">
        <v>57</v>
      </c>
      <c r="F103" s="93"/>
      <c r="G103" s="93"/>
      <c r="H103" s="93"/>
      <c r="I103" s="93"/>
      <c r="J103" s="93"/>
      <c r="K103" s="93">
        <f t="shared" si="1"/>
        <v>0</v>
      </c>
      <c r="L103" s="93"/>
      <c r="M103" s="93"/>
      <c r="N103" s="93"/>
      <c r="O103" s="93">
        <f t="shared" si="2"/>
        <v>0</v>
      </c>
      <c r="P103" s="93"/>
      <c r="Q103" s="93"/>
      <c r="R103" s="93"/>
      <c r="S103" s="93"/>
    </row>
    <row r="104" ht="15.75" customHeight="1">
      <c r="A104" s="93">
        <v>79.0</v>
      </c>
      <c r="B104" s="93" t="s">
        <v>328</v>
      </c>
      <c r="C104" s="93" t="s">
        <v>55</v>
      </c>
      <c r="D104" s="93" t="s">
        <v>289</v>
      </c>
      <c r="E104" s="93" t="s">
        <v>57</v>
      </c>
      <c r="F104" s="93"/>
      <c r="G104" s="93"/>
      <c r="H104" s="93"/>
      <c r="I104" s="93"/>
      <c r="J104" s="93"/>
      <c r="K104" s="93">
        <f t="shared" si="1"/>
        <v>0</v>
      </c>
      <c r="L104" s="93"/>
      <c r="M104" s="93"/>
      <c r="N104" s="93"/>
      <c r="O104" s="93">
        <f t="shared" si="2"/>
        <v>0</v>
      </c>
      <c r="P104" s="93"/>
      <c r="Q104" s="93"/>
      <c r="R104" s="93"/>
      <c r="S104" s="93"/>
    </row>
    <row r="105" ht="15.75" customHeight="1">
      <c r="A105" s="93">
        <v>80.0</v>
      </c>
      <c r="B105" s="93" t="s">
        <v>329</v>
      </c>
      <c r="C105" s="93" t="s">
        <v>55</v>
      </c>
      <c r="D105" s="93" t="s">
        <v>289</v>
      </c>
      <c r="E105" s="93" t="s">
        <v>57</v>
      </c>
      <c r="F105" s="93"/>
      <c r="G105" s="93"/>
      <c r="H105" s="93"/>
      <c r="I105" s="93"/>
      <c r="J105" s="93"/>
      <c r="K105" s="93">
        <f t="shared" si="1"/>
        <v>0</v>
      </c>
      <c r="L105" s="93"/>
      <c r="M105" s="93"/>
      <c r="N105" s="93"/>
      <c r="O105" s="93">
        <f t="shared" si="2"/>
        <v>0</v>
      </c>
      <c r="P105" s="93"/>
      <c r="Q105" s="93"/>
      <c r="R105" s="93"/>
      <c r="S105" s="93"/>
    </row>
    <row r="106" ht="15.75" customHeight="1">
      <c r="A106" s="93">
        <v>81.0</v>
      </c>
      <c r="B106" s="93" t="s">
        <v>333</v>
      </c>
      <c r="C106" s="93" t="s">
        <v>65</v>
      </c>
      <c r="D106" s="93" t="s">
        <v>289</v>
      </c>
      <c r="E106" s="93" t="s">
        <v>57</v>
      </c>
      <c r="F106" s="93"/>
      <c r="G106" s="93"/>
      <c r="H106" s="93"/>
      <c r="I106" s="93"/>
      <c r="J106" s="93"/>
      <c r="K106" s="93">
        <f t="shared" si="1"/>
        <v>0</v>
      </c>
      <c r="L106" s="93"/>
      <c r="M106" s="93"/>
      <c r="N106" s="93"/>
      <c r="O106" s="93">
        <f t="shared" si="2"/>
        <v>0</v>
      </c>
      <c r="P106" s="93"/>
      <c r="Q106" s="93"/>
      <c r="R106" s="93"/>
      <c r="S106" s="93"/>
    </row>
    <row r="107" ht="15.75" customHeight="1">
      <c r="A107" s="93">
        <v>82.0</v>
      </c>
      <c r="B107" s="93" t="s">
        <v>336</v>
      </c>
      <c r="C107" s="93" t="s">
        <v>65</v>
      </c>
      <c r="D107" s="93" t="s">
        <v>289</v>
      </c>
      <c r="E107" s="93" t="s">
        <v>57</v>
      </c>
      <c r="F107" s="93"/>
      <c r="G107" s="93"/>
      <c r="H107" s="93"/>
      <c r="I107" s="93"/>
      <c r="J107" s="93"/>
      <c r="K107" s="93">
        <f t="shared" si="1"/>
        <v>0</v>
      </c>
      <c r="L107" s="93"/>
      <c r="M107" s="93"/>
      <c r="N107" s="93"/>
      <c r="O107" s="93">
        <f t="shared" si="2"/>
        <v>0</v>
      </c>
      <c r="P107" s="93"/>
      <c r="Q107" s="93"/>
      <c r="R107" s="93"/>
      <c r="S107" s="93"/>
    </row>
    <row r="108" ht="15.75" customHeight="1">
      <c r="A108" s="93">
        <v>83.0</v>
      </c>
      <c r="B108" s="93" t="s">
        <v>339</v>
      </c>
      <c r="C108" s="93" t="s">
        <v>65</v>
      </c>
      <c r="D108" s="93" t="s">
        <v>289</v>
      </c>
      <c r="E108" s="93" t="s">
        <v>57</v>
      </c>
      <c r="F108" s="93"/>
      <c r="G108" s="93"/>
      <c r="H108" s="93"/>
      <c r="I108" s="93"/>
      <c r="J108" s="93"/>
      <c r="K108" s="93">
        <f t="shared" si="1"/>
        <v>0</v>
      </c>
      <c r="L108" s="93"/>
      <c r="M108" s="93"/>
      <c r="N108" s="93"/>
      <c r="O108" s="93">
        <f t="shared" si="2"/>
        <v>0</v>
      </c>
      <c r="P108" s="93"/>
      <c r="Q108" s="93"/>
      <c r="R108" s="93"/>
      <c r="S108" s="93"/>
    </row>
    <row r="109" ht="15.75" customHeight="1">
      <c r="A109" s="93">
        <v>84.0</v>
      </c>
      <c r="B109" s="93" t="s">
        <v>342</v>
      </c>
      <c r="C109" s="93" t="s">
        <v>65</v>
      </c>
      <c r="D109" s="93" t="s">
        <v>289</v>
      </c>
      <c r="E109" s="93" t="s">
        <v>57</v>
      </c>
      <c r="F109" s="93"/>
      <c r="G109" s="93"/>
      <c r="H109" s="93"/>
      <c r="I109" s="93"/>
      <c r="J109" s="93"/>
      <c r="K109" s="93">
        <f t="shared" si="1"/>
        <v>0</v>
      </c>
      <c r="L109" s="93"/>
      <c r="M109" s="93"/>
      <c r="N109" s="93"/>
      <c r="O109" s="93">
        <f t="shared" si="2"/>
        <v>0</v>
      </c>
      <c r="P109" s="93"/>
      <c r="Q109" s="93"/>
      <c r="R109" s="93"/>
      <c r="S109" s="93"/>
    </row>
    <row r="110" ht="15.75" customHeight="1">
      <c r="A110" s="93">
        <v>85.0</v>
      </c>
      <c r="B110" s="93" t="s">
        <v>346</v>
      </c>
      <c r="C110" s="93" t="s">
        <v>65</v>
      </c>
      <c r="D110" s="93" t="s">
        <v>289</v>
      </c>
      <c r="E110" s="93" t="s">
        <v>57</v>
      </c>
      <c r="F110" s="93"/>
      <c r="G110" s="93"/>
      <c r="H110" s="93"/>
      <c r="I110" s="93"/>
      <c r="J110" s="93"/>
      <c r="K110" s="93">
        <f t="shared" si="1"/>
        <v>0</v>
      </c>
      <c r="L110" s="93"/>
      <c r="M110" s="93"/>
      <c r="N110" s="93"/>
      <c r="O110" s="93">
        <f t="shared" si="2"/>
        <v>0</v>
      </c>
      <c r="P110" s="93"/>
      <c r="Q110" s="93"/>
      <c r="R110" s="93"/>
      <c r="S110" s="93"/>
    </row>
    <row r="111" ht="15.75" customHeight="1">
      <c r="A111" s="93">
        <v>86.0</v>
      </c>
      <c r="B111" s="93" t="s">
        <v>347</v>
      </c>
      <c r="C111" s="93" t="s">
        <v>65</v>
      </c>
      <c r="D111" s="93" t="s">
        <v>289</v>
      </c>
      <c r="E111" s="93" t="s">
        <v>57</v>
      </c>
      <c r="F111" s="93"/>
      <c r="G111" s="93"/>
      <c r="H111" s="93"/>
      <c r="I111" s="93"/>
      <c r="J111" s="93"/>
      <c r="K111" s="93">
        <f t="shared" si="1"/>
        <v>0</v>
      </c>
      <c r="L111" s="93"/>
      <c r="M111" s="93"/>
      <c r="N111" s="93"/>
      <c r="O111" s="93">
        <f t="shared" si="2"/>
        <v>0</v>
      </c>
      <c r="P111" s="93"/>
      <c r="Q111" s="93"/>
      <c r="R111" s="93"/>
      <c r="S111" s="93"/>
    </row>
    <row r="112" ht="15.75" customHeight="1">
      <c r="A112" s="93">
        <v>87.0</v>
      </c>
      <c r="B112" s="93" t="s">
        <v>348</v>
      </c>
      <c r="C112" s="93" t="s">
        <v>65</v>
      </c>
      <c r="D112" s="93" t="s">
        <v>289</v>
      </c>
      <c r="E112" s="93" t="s">
        <v>57</v>
      </c>
      <c r="F112" s="93"/>
      <c r="G112" s="93"/>
      <c r="H112" s="93"/>
      <c r="I112" s="93"/>
      <c r="J112" s="93"/>
      <c r="K112" s="93">
        <f t="shared" si="1"/>
        <v>0</v>
      </c>
      <c r="L112" s="93"/>
      <c r="M112" s="93"/>
      <c r="N112" s="93"/>
      <c r="O112" s="93">
        <f t="shared" si="2"/>
        <v>0</v>
      </c>
      <c r="P112" s="93"/>
      <c r="Q112" s="93"/>
      <c r="R112" s="93"/>
      <c r="S112" s="93"/>
    </row>
    <row r="113" ht="15.75" customHeight="1">
      <c r="A113" s="93">
        <v>88.0</v>
      </c>
      <c r="B113" s="93" t="s">
        <v>350</v>
      </c>
      <c r="C113" s="93" t="s">
        <v>65</v>
      </c>
      <c r="D113" s="93" t="s">
        <v>289</v>
      </c>
      <c r="E113" s="93" t="s">
        <v>57</v>
      </c>
      <c r="F113" s="93"/>
      <c r="G113" s="93"/>
      <c r="H113" s="93"/>
      <c r="I113" s="93"/>
      <c r="J113" s="93"/>
      <c r="K113" s="93">
        <f t="shared" si="1"/>
        <v>0</v>
      </c>
      <c r="L113" s="93"/>
      <c r="M113" s="93"/>
      <c r="N113" s="93"/>
      <c r="O113" s="93">
        <f t="shared" si="2"/>
        <v>0</v>
      </c>
      <c r="P113" s="93"/>
      <c r="Q113" s="93"/>
      <c r="R113" s="93"/>
      <c r="S113" s="93"/>
    </row>
    <row r="114" ht="15.75" customHeight="1">
      <c r="A114" s="93">
        <v>89.0</v>
      </c>
      <c r="B114" s="93" t="s">
        <v>352</v>
      </c>
      <c r="C114" s="93" t="s">
        <v>65</v>
      </c>
      <c r="D114" s="93" t="s">
        <v>289</v>
      </c>
      <c r="E114" s="93" t="s">
        <v>57</v>
      </c>
      <c r="F114" s="93"/>
      <c r="G114" s="93"/>
      <c r="H114" s="93"/>
      <c r="I114" s="93"/>
      <c r="J114" s="93"/>
      <c r="K114" s="93">
        <f t="shared" si="1"/>
        <v>0</v>
      </c>
      <c r="L114" s="93"/>
      <c r="M114" s="93"/>
      <c r="N114" s="93"/>
      <c r="O114" s="93">
        <f t="shared" si="2"/>
        <v>0</v>
      </c>
      <c r="P114" s="93"/>
      <c r="Q114" s="93"/>
      <c r="R114" s="93"/>
      <c r="S114" s="93"/>
    </row>
    <row r="115" ht="15.75" customHeight="1">
      <c r="A115" s="93">
        <v>90.0</v>
      </c>
      <c r="B115" s="93" t="s">
        <v>355</v>
      </c>
      <c r="C115" s="93" t="s">
        <v>65</v>
      </c>
      <c r="D115" s="93" t="s">
        <v>289</v>
      </c>
      <c r="E115" s="93" t="s">
        <v>57</v>
      </c>
      <c r="F115" s="93"/>
      <c r="G115" s="93"/>
      <c r="H115" s="93"/>
      <c r="I115" s="93"/>
      <c r="J115" s="93"/>
      <c r="K115" s="93">
        <f t="shared" si="1"/>
        <v>0</v>
      </c>
      <c r="L115" s="93"/>
      <c r="M115" s="93"/>
      <c r="N115" s="93"/>
      <c r="O115" s="93">
        <f t="shared" si="2"/>
        <v>0</v>
      </c>
      <c r="P115" s="93"/>
      <c r="Q115" s="93"/>
      <c r="R115" s="93"/>
      <c r="S115" s="93"/>
    </row>
    <row r="116" ht="15.75" customHeight="1">
      <c r="A116" s="93">
        <v>91.0</v>
      </c>
      <c r="B116" s="93" t="s">
        <v>356</v>
      </c>
      <c r="C116" s="93" t="s">
        <v>65</v>
      </c>
      <c r="D116" s="93" t="s">
        <v>289</v>
      </c>
      <c r="E116" s="93" t="s">
        <v>57</v>
      </c>
      <c r="F116" s="93"/>
      <c r="G116" s="93"/>
      <c r="H116" s="93"/>
      <c r="I116" s="93"/>
      <c r="J116" s="93"/>
      <c r="K116" s="93">
        <f t="shared" si="1"/>
        <v>0</v>
      </c>
      <c r="L116" s="93"/>
      <c r="M116" s="93"/>
      <c r="N116" s="93"/>
      <c r="O116" s="93">
        <f t="shared" si="2"/>
        <v>0</v>
      </c>
      <c r="P116" s="93"/>
      <c r="Q116" s="93"/>
      <c r="R116" s="93"/>
      <c r="S116" s="93"/>
    </row>
    <row r="117" ht="15.75" customHeight="1">
      <c r="A117" s="93">
        <v>92.0</v>
      </c>
      <c r="B117" s="93" t="s">
        <v>357</v>
      </c>
      <c r="C117" s="93" t="s">
        <v>65</v>
      </c>
      <c r="D117" s="93" t="s">
        <v>289</v>
      </c>
      <c r="E117" s="93" t="s">
        <v>57</v>
      </c>
      <c r="F117" s="93"/>
      <c r="G117" s="93"/>
      <c r="H117" s="93"/>
      <c r="I117" s="93"/>
      <c r="J117" s="93"/>
      <c r="K117" s="93">
        <f t="shared" si="1"/>
        <v>0</v>
      </c>
      <c r="L117" s="93"/>
      <c r="M117" s="93"/>
      <c r="N117" s="93"/>
      <c r="O117" s="93">
        <f t="shared" si="2"/>
        <v>0</v>
      </c>
      <c r="P117" s="93"/>
      <c r="Q117" s="93"/>
      <c r="R117" s="93"/>
      <c r="S117" s="93"/>
    </row>
    <row r="118" ht="15.75" customHeight="1">
      <c r="A118" s="93">
        <v>93.0</v>
      </c>
      <c r="B118" s="93" t="s">
        <v>358</v>
      </c>
      <c r="C118" s="93" t="s">
        <v>65</v>
      </c>
      <c r="D118" s="93" t="s">
        <v>289</v>
      </c>
      <c r="E118" s="93" t="s">
        <v>57</v>
      </c>
      <c r="F118" s="93"/>
      <c r="G118" s="93"/>
      <c r="H118" s="93"/>
      <c r="I118" s="93"/>
      <c r="J118" s="93"/>
      <c r="K118" s="93">
        <f t="shared" si="1"/>
        <v>0</v>
      </c>
      <c r="L118" s="93"/>
      <c r="M118" s="93"/>
      <c r="N118" s="93"/>
      <c r="O118" s="93">
        <f t="shared" si="2"/>
        <v>0</v>
      </c>
      <c r="P118" s="93"/>
      <c r="Q118" s="93"/>
      <c r="R118" s="93"/>
      <c r="S118" s="93"/>
    </row>
    <row r="119" ht="15.75" customHeight="1">
      <c r="A119" s="93">
        <v>94.0</v>
      </c>
      <c r="B119" s="93" t="s">
        <v>359</v>
      </c>
      <c r="C119" s="93" t="s">
        <v>65</v>
      </c>
      <c r="D119" s="93" t="s">
        <v>289</v>
      </c>
      <c r="E119" s="93" t="s">
        <v>57</v>
      </c>
      <c r="F119" s="93"/>
      <c r="G119" s="93"/>
      <c r="H119" s="93"/>
      <c r="I119" s="93"/>
      <c r="J119" s="93"/>
      <c r="K119" s="93">
        <f t="shared" si="1"/>
        <v>0</v>
      </c>
      <c r="L119" s="93"/>
      <c r="M119" s="93"/>
      <c r="N119" s="93"/>
      <c r="O119" s="93">
        <f t="shared" si="2"/>
        <v>0</v>
      </c>
      <c r="P119" s="93"/>
      <c r="Q119" s="93"/>
      <c r="R119" s="93"/>
      <c r="S119" s="93"/>
    </row>
    <row r="120" ht="15.75" customHeight="1">
      <c r="A120" s="93">
        <v>95.0</v>
      </c>
      <c r="B120" s="93" t="s">
        <v>361</v>
      </c>
      <c r="C120" s="93" t="s">
        <v>65</v>
      </c>
      <c r="D120" s="93" t="s">
        <v>289</v>
      </c>
      <c r="E120" s="93" t="s">
        <v>57</v>
      </c>
      <c r="F120" s="93"/>
      <c r="G120" s="93"/>
      <c r="H120" s="93"/>
      <c r="I120" s="93"/>
      <c r="J120" s="93"/>
      <c r="K120" s="93">
        <f t="shared" si="1"/>
        <v>0</v>
      </c>
      <c r="L120" s="93"/>
      <c r="M120" s="93"/>
      <c r="N120" s="93"/>
      <c r="O120" s="93">
        <f t="shared" si="2"/>
        <v>0</v>
      </c>
      <c r="P120" s="93"/>
      <c r="Q120" s="93"/>
      <c r="R120" s="93"/>
      <c r="S120" s="93"/>
    </row>
    <row r="121" ht="15.75" customHeight="1">
      <c r="A121" s="93">
        <v>96.0</v>
      </c>
      <c r="B121" s="93" t="s">
        <v>362</v>
      </c>
      <c r="C121" s="93" t="s">
        <v>65</v>
      </c>
      <c r="D121" s="93" t="s">
        <v>289</v>
      </c>
      <c r="E121" s="93" t="s">
        <v>57</v>
      </c>
      <c r="F121" s="93"/>
      <c r="G121" s="93"/>
      <c r="H121" s="93"/>
      <c r="I121" s="93"/>
      <c r="J121" s="93"/>
      <c r="K121" s="93">
        <f t="shared" si="1"/>
        <v>0</v>
      </c>
      <c r="L121" s="93"/>
      <c r="M121" s="93"/>
      <c r="N121" s="93"/>
      <c r="O121" s="93">
        <f t="shared" si="2"/>
        <v>0</v>
      </c>
      <c r="P121" s="93"/>
      <c r="Q121" s="93"/>
      <c r="R121" s="93"/>
      <c r="S121" s="93"/>
    </row>
    <row r="122" ht="15.75" customHeight="1">
      <c r="A122" s="93">
        <v>97.0</v>
      </c>
      <c r="B122" s="93" t="s">
        <v>363</v>
      </c>
      <c r="C122" s="93" t="s">
        <v>65</v>
      </c>
      <c r="D122" s="93" t="s">
        <v>289</v>
      </c>
      <c r="E122" s="93" t="s">
        <v>57</v>
      </c>
      <c r="F122" s="93"/>
      <c r="G122" s="93"/>
      <c r="H122" s="93"/>
      <c r="I122" s="93"/>
      <c r="J122" s="93"/>
      <c r="K122" s="93">
        <f t="shared" si="1"/>
        <v>0</v>
      </c>
      <c r="L122" s="93"/>
      <c r="M122" s="93"/>
      <c r="N122" s="93"/>
      <c r="O122" s="93">
        <f t="shared" si="2"/>
        <v>0</v>
      </c>
      <c r="P122" s="93"/>
      <c r="Q122" s="93"/>
      <c r="R122" s="93"/>
      <c r="S122" s="93"/>
    </row>
    <row r="123" ht="15.75" customHeight="1">
      <c r="A123" s="93">
        <v>98.0</v>
      </c>
      <c r="B123" s="93" t="s">
        <v>364</v>
      </c>
      <c r="C123" s="93" t="s">
        <v>65</v>
      </c>
      <c r="D123" s="93" t="s">
        <v>289</v>
      </c>
      <c r="E123" s="93" t="s">
        <v>57</v>
      </c>
      <c r="F123" s="93"/>
      <c r="G123" s="93"/>
      <c r="H123" s="93"/>
      <c r="I123" s="93"/>
      <c r="J123" s="93"/>
      <c r="K123" s="93">
        <f t="shared" si="1"/>
        <v>0</v>
      </c>
      <c r="L123" s="93"/>
      <c r="M123" s="93"/>
      <c r="N123" s="93"/>
      <c r="O123" s="93">
        <f t="shared" si="2"/>
        <v>0</v>
      </c>
      <c r="P123" s="93"/>
      <c r="Q123" s="93"/>
      <c r="R123" s="93"/>
      <c r="S123" s="93"/>
    </row>
    <row r="124" ht="15.75" customHeight="1">
      <c r="A124" s="93">
        <v>99.0</v>
      </c>
      <c r="B124" s="93" t="s">
        <v>365</v>
      </c>
      <c r="C124" s="93" t="s">
        <v>65</v>
      </c>
      <c r="D124" s="93" t="s">
        <v>289</v>
      </c>
      <c r="E124" s="93" t="s">
        <v>57</v>
      </c>
      <c r="F124" s="93"/>
      <c r="G124" s="93"/>
      <c r="H124" s="93"/>
      <c r="I124" s="93"/>
      <c r="J124" s="93"/>
      <c r="K124" s="93">
        <f t="shared" si="1"/>
        <v>0</v>
      </c>
      <c r="L124" s="93"/>
      <c r="M124" s="93"/>
      <c r="N124" s="93"/>
      <c r="O124" s="93">
        <f t="shared" si="2"/>
        <v>0</v>
      </c>
      <c r="P124" s="93"/>
      <c r="Q124" s="93"/>
      <c r="R124" s="93"/>
      <c r="S124" s="93"/>
    </row>
    <row r="125" ht="15.75" customHeight="1">
      <c r="A125" s="93">
        <v>100.0</v>
      </c>
      <c r="B125" s="93" t="s">
        <v>366</v>
      </c>
      <c r="C125" s="93" t="s">
        <v>65</v>
      </c>
      <c r="D125" s="93" t="s">
        <v>289</v>
      </c>
      <c r="E125" s="93" t="s">
        <v>57</v>
      </c>
      <c r="F125" s="93"/>
      <c r="G125" s="93"/>
      <c r="H125" s="93"/>
      <c r="I125" s="93"/>
      <c r="J125" s="93"/>
      <c r="K125" s="93">
        <f t="shared" si="1"/>
        <v>0</v>
      </c>
      <c r="L125" s="93"/>
      <c r="M125" s="93"/>
      <c r="N125" s="93"/>
      <c r="O125" s="93">
        <f t="shared" si="2"/>
        <v>0</v>
      </c>
      <c r="P125" s="93"/>
      <c r="Q125" s="93"/>
      <c r="R125" s="93"/>
      <c r="S125" s="93"/>
    </row>
    <row r="126" ht="15.75" customHeight="1">
      <c r="A126" s="93">
        <v>101.0</v>
      </c>
      <c r="B126" s="93" t="s">
        <v>368</v>
      </c>
      <c r="C126" s="93" t="s">
        <v>69</v>
      </c>
      <c r="D126" s="93" t="s">
        <v>289</v>
      </c>
      <c r="E126" s="93" t="s">
        <v>57</v>
      </c>
      <c r="F126" s="93"/>
      <c r="G126" s="93"/>
      <c r="H126" s="93"/>
      <c r="I126" s="93"/>
      <c r="J126" s="93"/>
      <c r="K126" s="93">
        <f t="shared" si="1"/>
        <v>0</v>
      </c>
      <c r="L126" s="93"/>
      <c r="M126" s="93"/>
      <c r="N126" s="93"/>
      <c r="O126" s="93">
        <f t="shared" si="2"/>
        <v>0</v>
      </c>
      <c r="P126" s="93"/>
      <c r="Q126" s="93"/>
      <c r="R126" s="93"/>
      <c r="S126" s="93"/>
    </row>
    <row r="127" ht="15.75" customHeight="1">
      <c r="A127" s="93">
        <v>102.0</v>
      </c>
      <c r="B127" s="93" t="s">
        <v>370</v>
      </c>
      <c r="C127" s="93" t="s">
        <v>69</v>
      </c>
      <c r="D127" s="93" t="s">
        <v>289</v>
      </c>
      <c r="E127" s="93" t="s">
        <v>57</v>
      </c>
      <c r="F127" s="93"/>
      <c r="G127" s="93"/>
      <c r="H127" s="93"/>
      <c r="I127" s="93"/>
      <c r="J127" s="93"/>
      <c r="K127" s="93">
        <f t="shared" si="1"/>
        <v>0</v>
      </c>
      <c r="L127" s="93"/>
      <c r="M127" s="93"/>
      <c r="N127" s="93"/>
      <c r="O127" s="93">
        <f t="shared" si="2"/>
        <v>0</v>
      </c>
      <c r="P127" s="93"/>
      <c r="Q127" s="93"/>
      <c r="R127" s="93"/>
      <c r="S127" s="93"/>
    </row>
    <row r="128" ht="15.75" customHeight="1">
      <c r="A128" s="93">
        <v>103.0</v>
      </c>
      <c r="B128" s="93" t="s">
        <v>373</v>
      </c>
      <c r="C128" s="93" t="s">
        <v>69</v>
      </c>
      <c r="D128" s="93" t="s">
        <v>289</v>
      </c>
      <c r="E128" s="93" t="s">
        <v>57</v>
      </c>
      <c r="F128" s="93"/>
      <c r="G128" s="93"/>
      <c r="H128" s="93"/>
      <c r="I128" s="93"/>
      <c r="J128" s="93"/>
      <c r="K128" s="93">
        <f t="shared" si="1"/>
        <v>0</v>
      </c>
      <c r="L128" s="93"/>
      <c r="M128" s="93"/>
      <c r="N128" s="93"/>
      <c r="O128" s="93">
        <f t="shared" si="2"/>
        <v>0</v>
      </c>
      <c r="P128" s="93"/>
      <c r="Q128" s="93"/>
      <c r="R128" s="93"/>
      <c r="S128" s="93"/>
    </row>
    <row r="129" ht="15.75" customHeight="1">
      <c r="A129" s="93">
        <v>104.0</v>
      </c>
      <c r="B129" s="93" t="s">
        <v>376</v>
      </c>
      <c r="C129" s="93" t="s">
        <v>69</v>
      </c>
      <c r="D129" s="93" t="s">
        <v>289</v>
      </c>
      <c r="E129" s="93" t="s">
        <v>57</v>
      </c>
      <c r="F129" s="93"/>
      <c r="G129" s="93"/>
      <c r="H129" s="93"/>
      <c r="I129" s="93"/>
      <c r="J129" s="93"/>
      <c r="K129" s="93">
        <f t="shared" si="1"/>
        <v>0</v>
      </c>
      <c r="L129" s="93"/>
      <c r="M129" s="93"/>
      <c r="N129" s="93"/>
      <c r="O129" s="93">
        <f t="shared" si="2"/>
        <v>0</v>
      </c>
      <c r="P129" s="93"/>
      <c r="Q129" s="93"/>
      <c r="R129" s="93"/>
      <c r="S129" s="93"/>
    </row>
    <row r="130" ht="15.75" customHeight="1">
      <c r="A130" s="93">
        <v>105.0</v>
      </c>
      <c r="B130" s="93" t="s">
        <v>378</v>
      </c>
      <c r="C130" s="93" t="s">
        <v>69</v>
      </c>
      <c r="D130" s="93" t="s">
        <v>289</v>
      </c>
      <c r="E130" s="93" t="s">
        <v>57</v>
      </c>
      <c r="F130" s="93"/>
      <c r="G130" s="93"/>
      <c r="H130" s="93"/>
      <c r="I130" s="93"/>
      <c r="J130" s="93"/>
      <c r="K130" s="93">
        <f t="shared" si="1"/>
        <v>0</v>
      </c>
      <c r="L130" s="93"/>
      <c r="M130" s="93"/>
      <c r="N130" s="93"/>
      <c r="O130" s="93">
        <f t="shared" si="2"/>
        <v>0</v>
      </c>
      <c r="P130" s="93"/>
      <c r="Q130" s="93"/>
      <c r="R130" s="93"/>
      <c r="S130" s="93"/>
    </row>
    <row r="131" ht="15.75" customHeight="1">
      <c r="A131" s="93">
        <v>106.0</v>
      </c>
      <c r="B131" s="93" t="s">
        <v>379</v>
      </c>
      <c r="C131" s="93" t="s">
        <v>69</v>
      </c>
      <c r="D131" s="93" t="s">
        <v>289</v>
      </c>
      <c r="E131" s="93" t="s">
        <v>57</v>
      </c>
      <c r="F131" s="93"/>
      <c r="G131" s="93"/>
      <c r="H131" s="93"/>
      <c r="I131" s="93"/>
      <c r="J131" s="93"/>
      <c r="K131" s="93">
        <f t="shared" si="1"/>
        <v>0</v>
      </c>
      <c r="L131" s="93"/>
      <c r="M131" s="93"/>
      <c r="N131" s="93"/>
      <c r="O131" s="93">
        <f t="shared" si="2"/>
        <v>0</v>
      </c>
      <c r="P131" s="93"/>
      <c r="Q131" s="93"/>
      <c r="R131" s="93"/>
      <c r="S131" s="93"/>
    </row>
    <row r="132" ht="15.75" customHeight="1">
      <c r="A132" s="93">
        <v>107.0</v>
      </c>
      <c r="B132" s="93" t="s">
        <v>381</v>
      </c>
      <c r="C132" s="93" t="s">
        <v>69</v>
      </c>
      <c r="D132" s="93" t="s">
        <v>289</v>
      </c>
      <c r="E132" s="93" t="s">
        <v>57</v>
      </c>
      <c r="F132" s="93"/>
      <c r="G132" s="93"/>
      <c r="H132" s="93"/>
      <c r="I132" s="93"/>
      <c r="J132" s="93"/>
      <c r="K132" s="93">
        <f t="shared" si="1"/>
        <v>0</v>
      </c>
      <c r="L132" s="93"/>
      <c r="M132" s="93"/>
      <c r="N132" s="93"/>
      <c r="O132" s="93">
        <f t="shared" si="2"/>
        <v>0</v>
      </c>
      <c r="P132" s="93"/>
      <c r="Q132" s="93"/>
      <c r="R132" s="93"/>
      <c r="S132" s="93"/>
    </row>
    <row r="133" ht="15.75" customHeight="1">
      <c r="A133" s="93">
        <v>108.0</v>
      </c>
      <c r="B133" s="93" t="s">
        <v>383</v>
      </c>
      <c r="C133" s="93" t="s">
        <v>69</v>
      </c>
      <c r="D133" s="93" t="s">
        <v>289</v>
      </c>
      <c r="E133" s="93" t="s">
        <v>57</v>
      </c>
      <c r="F133" s="93"/>
      <c r="G133" s="93"/>
      <c r="H133" s="93"/>
      <c r="I133" s="93"/>
      <c r="J133" s="93"/>
      <c r="K133" s="93">
        <f t="shared" si="1"/>
        <v>0</v>
      </c>
      <c r="L133" s="93"/>
      <c r="M133" s="93"/>
      <c r="N133" s="93"/>
      <c r="O133" s="93">
        <f t="shared" si="2"/>
        <v>0</v>
      </c>
      <c r="P133" s="93"/>
      <c r="Q133" s="93"/>
      <c r="R133" s="93"/>
      <c r="S133" s="93"/>
    </row>
    <row r="134" ht="15.75" customHeight="1">
      <c r="A134" s="93">
        <v>109.0</v>
      </c>
      <c r="B134" s="93" t="s">
        <v>384</v>
      </c>
      <c r="C134" s="93" t="s">
        <v>69</v>
      </c>
      <c r="D134" s="93" t="s">
        <v>289</v>
      </c>
      <c r="E134" s="93" t="s">
        <v>57</v>
      </c>
      <c r="F134" s="93"/>
      <c r="G134" s="93"/>
      <c r="H134" s="93"/>
      <c r="I134" s="93"/>
      <c r="J134" s="93"/>
      <c r="K134" s="93">
        <f t="shared" si="1"/>
        <v>0</v>
      </c>
      <c r="L134" s="93"/>
      <c r="M134" s="93"/>
      <c r="N134" s="93"/>
      <c r="O134" s="93">
        <f t="shared" si="2"/>
        <v>0</v>
      </c>
      <c r="P134" s="93"/>
      <c r="Q134" s="93"/>
      <c r="R134" s="93"/>
      <c r="S134" s="93"/>
    </row>
    <row r="135" ht="15.75" customHeight="1">
      <c r="A135" s="93">
        <v>110.0</v>
      </c>
      <c r="B135" s="93" t="s">
        <v>386</v>
      </c>
      <c r="C135" s="93" t="s">
        <v>69</v>
      </c>
      <c r="D135" s="93" t="s">
        <v>289</v>
      </c>
      <c r="E135" s="93" t="s">
        <v>57</v>
      </c>
      <c r="F135" s="93"/>
      <c r="G135" s="93"/>
      <c r="H135" s="93"/>
      <c r="I135" s="93"/>
      <c r="J135" s="93"/>
      <c r="K135" s="93">
        <f t="shared" si="1"/>
        <v>0</v>
      </c>
      <c r="L135" s="93"/>
      <c r="M135" s="93"/>
      <c r="N135" s="93"/>
      <c r="O135" s="93">
        <f t="shared" si="2"/>
        <v>0</v>
      </c>
      <c r="P135" s="93"/>
      <c r="Q135" s="93"/>
      <c r="R135" s="93"/>
      <c r="S135" s="93"/>
    </row>
    <row r="136" ht="15.75" customHeight="1">
      <c r="A136" s="93">
        <v>111.0</v>
      </c>
      <c r="B136" s="93" t="s">
        <v>387</v>
      </c>
      <c r="C136" s="93" t="s">
        <v>69</v>
      </c>
      <c r="D136" s="93" t="s">
        <v>289</v>
      </c>
      <c r="E136" s="93" t="s">
        <v>57</v>
      </c>
      <c r="F136" s="93"/>
      <c r="G136" s="93"/>
      <c r="H136" s="93"/>
      <c r="I136" s="93"/>
      <c r="J136" s="93"/>
      <c r="K136" s="93">
        <f t="shared" si="1"/>
        <v>0</v>
      </c>
      <c r="L136" s="93"/>
      <c r="M136" s="93"/>
      <c r="N136" s="93"/>
      <c r="O136" s="93">
        <f t="shared" si="2"/>
        <v>0</v>
      </c>
      <c r="P136" s="93"/>
      <c r="Q136" s="93"/>
      <c r="R136" s="93"/>
      <c r="S136" s="93"/>
    </row>
    <row r="137" ht="15.75" customHeight="1">
      <c r="A137" s="93">
        <v>112.0</v>
      </c>
      <c r="B137" s="93" t="s">
        <v>388</v>
      </c>
      <c r="C137" s="93" t="s">
        <v>69</v>
      </c>
      <c r="D137" s="93" t="s">
        <v>289</v>
      </c>
      <c r="E137" s="93" t="s">
        <v>57</v>
      </c>
      <c r="F137" s="93"/>
      <c r="G137" s="93"/>
      <c r="H137" s="93"/>
      <c r="I137" s="93"/>
      <c r="J137" s="93"/>
      <c r="K137" s="93">
        <f t="shared" si="1"/>
        <v>0</v>
      </c>
      <c r="L137" s="93"/>
      <c r="M137" s="93"/>
      <c r="N137" s="93"/>
      <c r="O137" s="93">
        <f t="shared" si="2"/>
        <v>0</v>
      </c>
      <c r="P137" s="93"/>
      <c r="Q137" s="93"/>
      <c r="R137" s="93"/>
      <c r="S137" s="93"/>
    </row>
    <row r="138" ht="15.75" customHeight="1">
      <c r="A138" s="93">
        <v>113.0</v>
      </c>
      <c r="B138" s="93" t="s">
        <v>389</v>
      </c>
      <c r="C138" s="93" t="s">
        <v>69</v>
      </c>
      <c r="D138" s="93" t="s">
        <v>289</v>
      </c>
      <c r="E138" s="93" t="s">
        <v>57</v>
      </c>
      <c r="F138" s="93"/>
      <c r="G138" s="93"/>
      <c r="H138" s="93"/>
      <c r="I138" s="93"/>
      <c r="J138" s="93"/>
      <c r="K138" s="93">
        <f t="shared" si="1"/>
        <v>0</v>
      </c>
      <c r="L138" s="93"/>
      <c r="M138" s="93"/>
      <c r="N138" s="93"/>
      <c r="O138" s="93">
        <f t="shared" si="2"/>
        <v>0</v>
      </c>
      <c r="P138" s="93"/>
      <c r="Q138" s="93"/>
      <c r="R138" s="93"/>
      <c r="S138" s="93"/>
    </row>
    <row r="139" ht="15.75" customHeight="1">
      <c r="A139" s="93">
        <v>114.0</v>
      </c>
      <c r="B139" s="93" t="s">
        <v>390</v>
      </c>
      <c r="C139" s="93" t="s">
        <v>69</v>
      </c>
      <c r="D139" s="93" t="s">
        <v>289</v>
      </c>
      <c r="E139" s="93" t="s">
        <v>57</v>
      </c>
      <c r="F139" s="93"/>
      <c r="G139" s="93"/>
      <c r="H139" s="93"/>
      <c r="I139" s="93"/>
      <c r="J139" s="93"/>
      <c r="K139" s="93">
        <f t="shared" si="1"/>
        <v>0</v>
      </c>
      <c r="L139" s="93"/>
      <c r="M139" s="93"/>
      <c r="N139" s="93"/>
      <c r="O139" s="93">
        <f t="shared" si="2"/>
        <v>0</v>
      </c>
      <c r="P139" s="93"/>
      <c r="Q139" s="93"/>
      <c r="R139" s="93"/>
      <c r="S139" s="93"/>
    </row>
    <row r="140" ht="15.75" customHeight="1">
      <c r="A140" s="93">
        <v>115.0</v>
      </c>
      <c r="B140" s="93" t="s">
        <v>391</v>
      </c>
      <c r="C140" s="93" t="s">
        <v>69</v>
      </c>
      <c r="D140" s="93" t="s">
        <v>289</v>
      </c>
      <c r="E140" s="93" t="s">
        <v>57</v>
      </c>
      <c r="F140" s="93"/>
      <c r="G140" s="93"/>
      <c r="H140" s="93"/>
      <c r="I140" s="93"/>
      <c r="J140" s="93"/>
      <c r="K140" s="93">
        <f t="shared" si="1"/>
        <v>0</v>
      </c>
      <c r="L140" s="93"/>
      <c r="M140" s="93"/>
      <c r="N140" s="93"/>
      <c r="O140" s="93">
        <f t="shared" si="2"/>
        <v>0</v>
      </c>
      <c r="P140" s="93"/>
      <c r="Q140" s="93"/>
      <c r="R140" s="93"/>
      <c r="S140" s="93"/>
    </row>
    <row r="141" ht="15.75" customHeight="1">
      <c r="A141" s="93">
        <v>116.0</v>
      </c>
      <c r="B141" s="93" t="s">
        <v>392</v>
      </c>
      <c r="C141" s="93" t="s">
        <v>69</v>
      </c>
      <c r="D141" s="93" t="s">
        <v>289</v>
      </c>
      <c r="E141" s="93" t="s">
        <v>57</v>
      </c>
      <c r="F141" s="93"/>
      <c r="G141" s="93"/>
      <c r="H141" s="93"/>
      <c r="I141" s="93"/>
      <c r="J141" s="93"/>
      <c r="K141" s="93">
        <f t="shared" si="1"/>
        <v>0</v>
      </c>
      <c r="L141" s="93"/>
      <c r="M141" s="93"/>
      <c r="N141" s="93"/>
      <c r="O141" s="93">
        <f t="shared" si="2"/>
        <v>0</v>
      </c>
      <c r="P141" s="93"/>
      <c r="Q141" s="93"/>
      <c r="R141" s="93"/>
      <c r="S141" s="93"/>
    </row>
    <row r="142" ht="15.75" customHeight="1">
      <c r="A142" s="93">
        <v>117.0</v>
      </c>
      <c r="B142" s="93" t="s">
        <v>393</v>
      </c>
      <c r="C142" s="93" t="s">
        <v>69</v>
      </c>
      <c r="D142" s="93" t="s">
        <v>289</v>
      </c>
      <c r="E142" s="93" t="s">
        <v>57</v>
      </c>
      <c r="F142" s="93"/>
      <c r="G142" s="93"/>
      <c r="H142" s="93"/>
      <c r="I142" s="93"/>
      <c r="J142" s="93"/>
      <c r="K142" s="93">
        <f t="shared" si="1"/>
        <v>0</v>
      </c>
      <c r="L142" s="93"/>
      <c r="M142" s="93"/>
      <c r="N142" s="93"/>
      <c r="O142" s="93">
        <f t="shared" si="2"/>
        <v>0</v>
      </c>
      <c r="P142" s="93"/>
      <c r="Q142" s="93"/>
      <c r="R142" s="93"/>
      <c r="S142" s="93"/>
    </row>
    <row r="143" ht="15.75" customHeight="1">
      <c r="A143" s="93">
        <v>118.0</v>
      </c>
      <c r="B143" s="93" t="s">
        <v>394</v>
      </c>
      <c r="C143" s="93" t="s">
        <v>69</v>
      </c>
      <c r="D143" s="93" t="s">
        <v>289</v>
      </c>
      <c r="E143" s="93" t="s">
        <v>57</v>
      </c>
      <c r="F143" s="93"/>
      <c r="G143" s="93"/>
      <c r="H143" s="93"/>
      <c r="I143" s="93"/>
      <c r="J143" s="93"/>
      <c r="K143" s="93">
        <f t="shared" si="1"/>
        <v>0</v>
      </c>
      <c r="L143" s="93"/>
      <c r="M143" s="93"/>
      <c r="N143" s="93"/>
      <c r="O143" s="93">
        <f t="shared" si="2"/>
        <v>0</v>
      </c>
      <c r="P143" s="93"/>
      <c r="Q143" s="93"/>
      <c r="R143" s="93"/>
      <c r="S143" s="93"/>
    </row>
    <row r="144" ht="15.75" customHeight="1">
      <c r="A144" s="93">
        <v>119.0</v>
      </c>
      <c r="B144" s="93" t="s">
        <v>395</v>
      </c>
      <c r="C144" s="93" t="s">
        <v>69</v>
      </c>
      <c r="D144" s="93" t="s">
        <v>289</v>
      </c>
      <c r="E144" s="93" t="s">
        <v>57</v>
      </c>
      <c r="F144" s="93"/>
      <c r="G144" s="93"/>
      <c r="H144" s="93"/>
      <c r="I144" s="93"/>
      <c r="J144" s="93"/>
      <c r="K144" s="93">
        <f t="shared" si="1"/>
        <v>0</v>
      </c>
      <c r="L144" s="93"/>
      <c r="M144" s="93"/>
      <c r="N144" s="93"/>
      <c r="O144" s="93">
        <f t="shared" si="2"/>
        <v>0</v>
      </c>
      <c r="P144" s="93"/>
      <c r="Q144" s="93"/>
      <c r="R144" s="93"/>
      <c r="S144" s="93"/>
    </row>
    <row r="145" ht="15.75" customHeight="1">
      <c r="A145" s="93">
        <v>120.0</v>
      </c>
      <c r="B145" s="93" t="s">
        <v>396</v>
      </c>
      <c r="C145" s="93" t="s">
        <v>69</v>
      </c>
      <c r="D145" s="93" t="s">
        <v>289</v>
      </c>
      <c r="E145" s="93" t="s">
        <v>57</v>
      </c>
      <c r="F145" s="93"/>
      <c r="G145" s="93"/>
      <c r="H145" s="93"/>
      <c r="I145" s="93"/>
      <c r="J145" s="93"/>
      <c r="K145" s="93">
        <f t="shared" si="1"/>
        <v>0</v>
      </c>
      <c r="L145" s="93"/>
      <c r="M145" s="93"/>
      <c r="N145" s="93"/>
      <c r="O145" s="93">
        <f t="shared" si="2"/>
        <v>0</v>
      </c>
      <c r="P145" s="93"/>
      <c r="Q145" s="93"/>
      <c r="R145" s="93"/>
      <c r="S145" s="93"/>
    </row>
    <row r="146" ht="15.75" customHeight="1">
      <c r="A146" s="93">
        <v>121.0</v>
      </c>
      <c r="B146" s="93" t="s">
        <v>398</v>
      </c>
      <c r="C146" s="93" t="s">
        <v>72</v>
      </c>
      <c r="D146" s="93" t="s">
        <v>289</v>
      </c>
      <c r="E146" s="93" t="s">
        <v>57</v>
      </c>
      <c r="F146" s="93"/>
      <c r="G146" s="93"/>
      <c r="H146" s="93"/>
      <c r="I146" s="93"/>
      <c r="J146" s="93"/>
      <c r="K146" s="93">
        <f t="shared" si="1"/>
        <v>0</v>
      </c>
      <c r="L146" s="93"/>
      <c r="M146" s="93"/>
      <c r="N146" s="93"/>
      <c r="O146" s="93">
        <f t="shared" si="2"/>
        <v>0</v>
      </c>
      <c r="P146" s="93"/>
      <c r="Q146" s="93"/>
      <c r="R146" s="93"/>
      <c r="S146" s="93"/>
    </row>
    <row r="147" ht="15.75" customHeight="1">
      <c r="A147" s="93">
        <v>122.0</v>
      </c>
      <c r="B147" s="93" t="s">
        <v>401</v>
      </c>
      <c r="C147" s="93" t="s">
        <v>72</v>
      </c>
      <c r="D147" s="93" t="s">
        <v>289</v>
      </c>
      <c r="E147" s="93" t="s">
        <v>57</v>
      </c>
      <c r="F147" s="93"/>
      <c r="G147" s="93"/>
      <c r="H147" s="93"/>
      <c r="I147" s="93"/>
      <c r="J147" s="93"/>
      <c r="K147" s="93">
        <f t="shared" si="1"/>
        <v>0</v>
      </c>
      <c r="L147" s="93"/>
      <c r="M147" s="93"/>
      <c r="N147" s="93"/>
      <c r="O147" s="93">
        <f t="shared" si="2"/>
        <v>0</v>
      </c>
      <c r="P147" s="93"/>
      <c r="Q147" s="93"/>
      <c r="R147" s="93"/>
      <c r="S147" s="93"/>
    </row>
    <row r="148" ht="15.75" customHeight="1">
      <c r="A148" s="93">
        <v>123.0</v>
      </c>
      <c r="B148" s="93" t="s">
        <v>403</v>
      </c>
      <c r="C148" s="93" t="s">
        <v>72</v>
      </c>
      <c r="D148" s="93" t="s">
        <v>289</v>
      </c>
      <c r="E148" s="93" t="s">
        <v>57</v>
      </c>
      <c r="F148" s="93"/>
      <c r="G148" s="93"/>
      <c r="H148" s="93"/>
      <c r="I148" s="93"/>
      <c r="J148" s="93"/>
      <c r="K148" s="93">
        <f t="shared" si="1"/>
        <v>0</v>
      </c>
      <c r="L148" s="93"/>
      <c r="M148" s="93"/>
      <c r="N148" s="93"/>
      <c r="O148" s="93">
        <f t="shared" si="2"/>
        <v>0</v>
      </c>
      <c r="P148" s="93"/>
      <c r="Q148" s="93"/>
      <c r="R148" s="93"/>
      <c r="S148" s="93"/>
    </row>
    <row r="149" ht="15.75" customHeight="1">
      <c r="A149" s="93">
        <v>124.0</v>
      </c>
      <c r="B149" s="93" t="s">
        <v>406</v>
      </c>
      <c r="C149" s="93" t="s">
        <v>72</v>
      </c>
      <c r="D149" s="93" t="s">
        <v>289</v>
      </c>
      <c r="E149" s="93" t="s">
        <v>57</v>
      </c>
      <c r="F149" s="93"/>
      <c r="G149" s="93"/>
      <c r="H149" s="93"/>
      <c r="I149" s="93"/>
      <c r="J149" s="93"/>
      <c r="K149" s="93">
        <f t="shared" si="1"/>
        <v>0</v>
      </c>
      <c r="L149" s="93"/>
      <c r="M149" s="93"/>
      <c r="N149" s="93"/>
      <c r="O149" s="93">
        <f t="shared" si="2"/>
        <v>0</v>
      </c>
      <c r="P149" s="93"/>
      <c r="Q149" s="93"/>
      <c r="R149" s="93"/>
      <c r="S149" s="93"/>
    </row>
    <row r="150" ht="15.75" customHeight="1">
      <c r="A150" s="93">
        <v>125.0</v>
      </c>
      <c r="B150" s="93" t="s">
        <v>407</v>
      </c>
      <c r="C150" s="93" t="s">
        <v>72</v>
      </c>
      <c r="D150" s="93" t="s">
        <v>289</v>
      </c>
      <c r="E150" s="93" t="s">
        <v>57</v>
      </c>
      <c r="F150" s="93"/>
      <c r="G150" s="93"/>
      <c r="H150" s="93"/>
      <c r="I150" s="93"/>
      <c r="J150" s="93"/>
      <c r="K150" s="93">
        <f t="shared" si="1"/>
        <v>0</v>
      </c>
      <c r="L150" s="93"/>
      <c r="M150" s="93"/>
      <c r="N150" s="93"/>
      <c r="O150" s="93">
        <f t="shared" si="2"/>
        <v>0</v>
      </c>
      <c r="P150" s="93"/>
      <c r="Q150" s="93"/>
      <c r="R150" s="93"/>
      <c r="S150" s="93"/>
    </row>
    <row r="151" ht="15.75" customHeight="1">
      <c r="A151" s="93">
        <v>126.0</v>
      </c>
      <c r="B151" s="93" t="s">
        <v>408</v>
      </c>
      <c r="C151" s="93" t="s">
        <v>72</v>
      </c>
      <c r="D151" s="93" t="s">
        <v>289</v>
      </c>
      <c r="E151" s="93" t="s">
        <v>57</v>
      </c>
      <c r="F151" s="93"/>
      <c r="G151" s="93"/>
      <c r="H151" s="93"/>
      <c r="I151" s="93"/>
      <c r="J151" s="93"/>
      <c r="K151" s="93">
        <f t="shared" si="1"/>
        <v>0</v>
      </c>
      <c r="L151" s="93"/>
      <c r="M151" s="93"/>
      <c r="N151" s="93"/>
      <c r="O151" s="93">
        <f t="shared" si="2"/>
        <v>0</v>
      </c>
      <c r="P151" s="93"/>
      <c r="Q151" s="93"/>
      <c r="R151" s="93"/>
      <c r="S151" s="93"/>
    </row>
    <row r="152" ht="15.75" customHeight="1">
      <c r="A152" s="93">
        <v>127.0</v>
      </c>
      <c r="B152" s="93" t="s">
        <v>410</v>
      </c>
      <c r="C152" s="93" t="s">
        <v>72</v>
      </c>
      <c r="D152" s="93" t="s">
        <v>289</v>
      </c>
      <c r="E152" s="93" t="s">
        <v>57</v>
      </c>
      <c r="F152" s="93"/>
      <c r="G152" s="93"/>
      <c r="H152" s="93"/>
      <c r="I152" s="93"/>
      <c r="J152" s="93"/>
      <c r="K152" s="93">
        <f t="shared" si="1"/>
        <v>0</v>
      </c>
      <c r="L152" s="93"/>
      <c r="M152" s="93"/>
      <c r="N152" s="93"/>
      <c r="O152" s="93">
        <f t="shared" si="2"/>
        <v>0</v>
      </c>
      <c r="P152" s="93"/>
      <c r="Q152" s="93"/>
      <c r="R152" s="93"/>
      <c r="S152" s="93"/>
    </row>
    <row r="153" ht="15.75" customHeight="1">
      <c r="A153" s="93">
        <v>128.0</v>
      </c>
      <c r="B153" s="93" t="s">
        <v>412</v>
      </c>
      <c r="C153" s="93" t="s">
        <v>72</v>
      </c>
      <c r="D153" s="93" t="s">
        <v>289</v>
      </c>
      <c r="E153" s="93" t="s">
        <v>57</v>
      </c>
      <c r="F153" s="93"/>
      <c r="G153" s="93"/>
      <c r="H153" s="93"/>
      <c r="I153" s="93"/>
      <c r="J153" s="93"/>
      <c r="K153" s="93">
        <f t="shared" si="1"/>
        <v>0</v>
      </c>
      <c r="L153" s="93"/>
      <c r="M153" s="93"/>
      <c r="N153" s="93"/>
      <c r="O153" s="93">
        <f t="shared" si="2"/>
        <v>0</v>
      </c>
      <c r="P153" s="93"/>
      <c r="Q153" s="93"/>
      <c r="R153" s="93"/>
      <c r="S153" s="93"/>
    </row>
    <row r="154" ht="15.75" customHeight="1">
      <c r="A154" s="93">
        <v>129.0</v>
      </c>
      <c r="B154" s="93" t="s">
        <v>413</v>
      </c>
      <c r="C154" s="93" t="s">
        <v>72</v>
      </c>
      <c r="D154" s="93" t="s">
        <v>289</v>
      </c>
      <c r="E154" s="93" t="s">
        <v>57</v>
      </c>
      <c r="F154" s="93"/>
      <c r="G154" s="93"/>
      <c r="H154" s="93"/>
      <c r="I154" s="93"/>
      <c r="J154" s="93"/>
      <c r="K154" s="93">
        <f t="shared" si="1"/>
        <v>0</v>
      </c>
      <c r="L154" s="93"/>
      <c r="M154" s="93"/>
      <c r="N154" s="93"/>
      <c r="O154" s="93">
        <f t="shared" si="2"/>
        <v>0</v>
      </c>
      <c r="P154" s="93"/>
      <c r="Q154" s="93"/>
      <c r="R154" s="93"/>
      <c r="S154" s="93"/>
    </row>
    <row r="155" ht="15.75" customHeight="1">
      <c r="A155" s="93">
        <v>130.0</v>
      </c>
      <c r="B155" s="93" t="s">
        <v>415</v>
      </c>
      <c r="C155" s="93" t="s">
        <v>72</v>
      </c>
      <c r="D155" s="93" t="s">
        <v>289</v>
      </c>
      <c r="E155" s="93" t="s">
        <v>57</v>
      </c>
      <c r="F155" s="93"/>
      <c r="G155" s="93"/>
      <c r="H155" s="93"/>
      <c r="I155" s="93"/>
      <c r="J155" s="93"/>
      <c r="K155" s="93">
        <f t="shared" si="1"/>
        <v>0</v>
      </c>
      <c r="L155" s="93"/>
      <c r="M155" s="93"/>
      <c r="N155" s="93"/>
      <c r="O155" s="93">
        <f t="shared" si="2"/>
        <v>0</v>
      </c>
      <c r="P155" s="93"/>
      <c r="Q155" s="93"/>
      <c r="R155" s="93"/>
      <c r="S155" s="93"/>
    </row>
    <row r="156" ht="15.75" customHeight="1">
      <c r="A156" s="93">
        <v>131.0</v>
      </c>
      <c r="B156" s="93" t="s">
        <v>416</v>
      </c>
      <c r="C156" s="93" t="s">
        <v>72</v>
      </c>
      <c r="D156" s="93" t="s">
        <v>289</v>
      </c>
      <c r="E156" s="93" t="s">
        <v>57</v>
      </c>
      <c r="F156" s="93"/>
      <c r="G156" s="93"/>
      <c r="H156" s="93"/>
      <c r="I156" s="93"/>
      <c r="J156" s="93"/>
      <c r="K156" s="93">
        <f t="shared" si="1"/>
        <v>0</v>
      </c>
      <c r="L156" s="93"/>
      <c r="M156" s="93"/>
      <c r="N156" s="93"/>
      <c r="O156" s="93">
        <f t="shared" si="2"/>
        <v>0</v>
      </c>
      <c r="P156" s="93"/>
      <c r="Q156" s="93"/>
      <c r="R156" s="93"/>
      <c r="S156" s="93"/>
    </row>
    <row r="157" ht="15.75" customHeight="1">
      <c r="A157" s="93">
        <v>132.0</v>
      </c>
      <c r="B157" s="93" t="s">
        <v>417</v>
      </c>
      <c r="C157" s="93" t="s">
        <v>72</v>
      </c>
      <c r="D157" s="93" t="s">
        <v>289</v>
      </c>
      <c r="E157" s="93" t="s">
        <v>57</v>
      </c>
      <c r="F157" s="93"/>
      <c r="G157" s="93"/>
      <c r="H157" s="93"/>
      <c r="I157" s="93"/>
      <c r="J157" s="93"/>
      <c r="K157" s="93">
        <f t="shared" si="1"/>
        <v>0</v>
      </c>
      <c r="L157" s="93"/>
      <c r="M157" s="93"/>
      <c r="N157" s="93"/>
      <c r="O157" s="93">
        <f t="shared" si="2"/>
        <v>0</v>
      </c>
      <c r="P157" s="93"/>
      <c r="Q157" s="93"/>
      <c r="R157" s="93"/>
      <c r="S157" s="93"/>
    </row>
    <row r="158" ht="15.75" customHeight="1">
      <c r="A158" s="93">
        <v>133.0</v>
      </c>
      <c r="B158" s="93" t="s">
        <v>418</v>
      </c>
      <c r="C158" s="93" t="s">
        <v>72</v>
      </c>
      <c r="D158" s="93" t="s">
        <v>289</v>
      </c>
      <c r="E158" s="93" t="s">
        <v>57</v>
      </c>
      <c r="F158" s="93"/>
      <c r="G158" s="93"/>
      <c r="H158" s="93"/>
      <c r="I158" s="93"/>
      <c r="J158" s="93"/>
      <c r="K158" s="93">
        <f t="shared" si="1"/>
        <v>0</v>
      </c>
      <c r="L158" s="93"/>
      <c r="M158" s="93"/>
      <c r="N158" s="93"/>
      <c r="O158" s="93">
        <f t="shared" si="2"/>
        <v>0</v>
      </c>
      <c r="P158" s="93"/>
      <c r="Q158" s="93"/>
      <c r="R158" s="93"/>
      <c r="S158" s="93"/>
    </row>
    <row r="159" ht="15.75" customHeight="1">
      <c r="A159" s="93">
        <v>134.0</v>
      </c>
      <c r="B159" s="93" t="s">
        <v>419</v>
      </c>
      <c r="C159" s="93" t="s">
        <v>72</v>
      </c>
      <c r="D159" s="93" t="s">
        <v>289</v>
      </c>
      <c r="E159" s="93" t="s">
        <v>57</v>
      </c>
      <c r="F159" s="93"/>
      <c r="G159" s="93"/>
      <c r="H159" s="93"/>
      <c r="I159" s="93"/>
      <c r="J159" s="93"/>
      <c r="K159" s="93">
        <f t="shared" si="1"/>
        <v>0</v>
      </c>
      <c r="L159" s="93"/>
      <c r="M159" s="93"/>
      <c r="N159" s="93"/>
      <c r="O159" s="93">
        <f t="shared" si="2"/>
        <v>0</v>
      </c>
      <c r="P159" s="93"/>
      <c r="Q159" s="93"/>
      <c r="R159" s="93"/>
      <c r="S159" s="93"/>
    </row>
    <row r="160" ht="15.75" customHeight="1">
      <c r="A160" s="93">
        <v>135.0</v>
      </c>
      <c r="B160" s="93" t="s">
        <v>420</v>
      </c>
      <c r="C160" s="93" t="s">
        <v>72</v>
      </c>
      <c r="D160" s="93" t="s">
        <v>289</v>
      </c>
      <c r="E160" s="93" t="s">
        <v>57</v>
      </c>
      <c r="F160" s="93"/>
      <c r="G160" s="93"/>
      <c r="H160" s="93"/>
      <c r="I160" s="93"/>
      <c r="J160" s="93"/>
      <c r="K160" s="93">
        <f t="shared" si="1"/>
        <v>0</v>
      </c>
      <c r="L160" s="93"/>
      <c r="M160" s="93"/>
      <c r="N160" s="93"/>
      <c r="O160" s="93">
        <f t="shared" si="2"/>
        <v>0</v>
      </c>
      <c r="P160" s="93"/>
      <c r="Q160" s="93"/>
      <c r="R160" s="93"/>
      <c r="S160" s="93"/>
    </row>
    <row r="161" ht="15.75" customHeight="1">
      <c r="A161" s="93">
        <v>136.0</v>
      </c>
      <c r="B161" s="93" t="s">
        <v>421</v>
      </c>
      <c r="C161" s="93" t="s">
        <v>72</v>
      </c>
      <c r="D161" s="93" t="s">
        <v>289</v>
      </c>
      <c r="E161" s="93" t="s">
        <v>57</v>
      </c>
      <c r="F161" s="93"/>
      <c r="G161" s="93"/>
      <c r="H161" s="93"/>
      <c r="I161" s="93"/>
      <c r="J161" s="93"/>
      <c r="K161" s="93">
        <f t="shared" si="1"/>
        <v>0</v>
      </c>
      <c r="L161" s="93"/>
      <c r="M161" s="93"/>
      <c r="N161" s="93"/>
      <c r="O161" s="93">
        <f t="shared" si="2"/>
        <v>0</v>
      </c>
      <c r="P161" s="93"/>
      <c r="Q161" s="93"/>
      <c r="R161" s="93"/>
      <c r="S161" s="93"/>
    </row>
    <row r="162" ht="15.75" customHeight="1">
      <c r="A162" s="93">
        <v>137.0</v>
      </c>
      <c r="B162" s="93" t="s">
        <v>422</v>
      </c>
      <c r="C162" s="93" t="s">
        <v>72</v>
      </c>
      <c r="D162" s="93" t="s">
        <v>289</v>
      </c>
      <c r="E162" s="93" t="s">
        <v>57</v>
      </c>
      <c r="F162" s="93"/>
      <c r="G162" s="93"/>
      <c r="H162" s="93"/>
      <c r="I162" s="93"/>
      <c r="J162" s="93"/>
      <c r="K162" s="93">
        <f t="shared" si="1"/>
        <v>0</v>
      </c>
      <c r="L162" s="93"/>
      <c r="M162" s="93"/>
      <c r="N162" s="93"/>
      <c r="O162" s="93">
        <f t="shared" si="2"/>
        <v>0</v>
      </c>
      <c r="P162" s="93"/>
      <c r="Q162" s="93"/>
      <c r="R162" s="93"/>
      <c r="S162" s="93"/>
    </row>
    <row r="163" ht="15.75" customHeight="1">
      <c r="A163" s="93">
        <v>138.0</v>
      </c>
      <c r="B163" s="93" t="s">
        <v>423</v>
      </c>
      <c r="C163" s="93" t="s">
        <v>72</v>
      </c>
      <c r="D163" s="93" t="s">
        <v>289</v>
      </c>
      <c r="E163" s="93" t="s">
        <v>57</v>
      </c>
      <c r="F163" s="93"/>
      <c r="G163" s="93"/>
      <c r="H163" s="93"/>
      <c r="I163" s="93"/>
      <c r="J163" s="93"/>
      <c r="K163" s="93">
        <f t="shared" si="1"/>
        <v>0</v>
      </c>
      <c r="L163" s="93"/>
      <c r="M163" s="93"/>
      <c r="N163" s="93"/>
      <c r="O163" s="93">
        <f t="shared" si="2"/>
        <v>0</v>
      </c>
      <c r="P163" s="93"/>
      <c r="Q163" s="93"/>
      <c r="R163" s="93"/>
      <c r="S163" s="93"/>
    </row>
    <row r="164" ht="15.75" customHeight="1">
      <c r="A164" s="93">
        <v>139.0</v>
      </c>
      <c r="B164" s="93" t="s">
        <v>424</v>
      </c>
      <c r="C164" s="93" t="s">
        <v>72</v>
      </c>
      <c r="D164" s="93" t="s">
        <v>289</v>
      </c>
      <c r="E164" s="93" t="s">
        <v>57</v>
      </c>
      <c r="F164" s="93"/>
      <c r="G164" s="93"/>
      <c r="H164" s="93"/>
      <c r="I164" s="93"/>
      <c r="J164" s="93"/>
      <c r="K164" s="93">
        <f t="shared" si="1"/>
        <v>0</v>
      </c>
      <c r="L164" s="93"/>
      <c r="M164" s="93"/>
      <c r="N164" s="93"/>
      <c r="O164" s="93">
        <f t="shared" si="2"/>
        <v>0</v>
      </c>
      <c r="P164" s="93"/>
      <c r="Q164" s="93"/>
      <c r="R164" s="93"/>
      <c r="S164" s="93"/>
    </row>
    <row r="165" ht="15.75" customHeight="1">
      <c r="A165" s="93">
        <v>140.0</v>
      </c>
      <c r="B165" s="93" t="s">
        <v>425</v>
      </c>
      <c r="C165" s="93" t="s">
        <v>72</v>
      </c>
      <c r="D165" s="93" t="s">
        <v>289</v>
      </c>
      <c r="E165" s="93" t="s">
        <v>57</v>
      </c>
      <c r="F165" s="93"/>
      <c r="G165" s="93"/>
      <c r="H165" s="93"/>
      <c r="I165" s="93"/>
      <c r="J165" s="93"/>
      <c r="K165" s="93">
        <f t="shared" si="1"/>
        <v>0</v>
      </c>
      <c r="L165" s="93"/>
      <c r="M165" s="93"/>
      <c r="N165" s="93"/>
      <c r="O165" s="93">
        <f t="shared" si="2"/>
        <v>0</v>
      </c>
      <c r="P165" s="93"/>
      <c r="Q165" s="93"/>
      <c r="R165" s="93"/>
      <c r="S165" s="93"/>
    </row>
    <row r="166" ht="15.75" customHeight="1">
      <c r="A166" s="95">
        <v>141.0</v>
      </c>
      <c r="B166" s="95" t="s">
        <v>445</v>
      </c>
      <c r="C166" s="95" t="s">
        <v>55</v>
      </c>
      <c r="D166" s="95" t="s">
        <v>446</v>
      </c>
      <c r="E166" s="95" t="s">
        <v>57</v>
      </c>
      <c r="F166" s="95"/>
      <c r="G166" s="95"/>
      <c r="H166" s="95"/>
      <c r="I166" s="95"/>
      <c r="J166" s="95"/>
      <c r="K166" s="95">
        <f t="shared" si="1"/>
        <v>0</v>
      </c>
      <c r="L166" s="95"/>
      <c r="M166" s="95"/>
      <c r="N166" s="95"/>
      <c r="O166" s="95">
        <f t="shared" si="2"/>
        <v>0</v>
      </c>
      <c r="P166" s="95"/>
      <c r="Q166" s="95"/>
      <c r="R166" s="95"/>
      <c r="S166" s="95"/>
    </row>
    <row r="167" ht="15.75" customHeight="1">
      <c r="A167" s="95">
        <v>142.0</v>
      </c>
      <c r="B167" s="95" t="s">
        <v>447</v>
      </c>
      <c r="C167" s="95" t="s">
        <v>55</v>
      </c>
      <c r="D167" s="95" t="s">
        <v>446</v>
      </c>
      <c r="E167" s="95" t="s">
        <v>57</v>
      </c>
      <c r="F167" s="95"/>
      <c r="G167" s="95"/>
      <c r="H167" s="95"/>
      <c r="I167" s="95"/>
      <c r="J167" s="95"/>
      <c r="K167" s="95">
        <f t="shared" si="1"/>
        <v>0</v>
      </c>
      <c r="L167" s="95"/>
      <c r="M167" s="95"/>
      <c r="N167" s="95"/>
      <c r="O167" s="95">
        <f t="shared" si="2"/>
        <v>0</v>
      </c>
      <c r="P167" s="95"/>
      <c r="Q167" s="95"/>
      <c r="R167" s="95"/>
      <c r="S167" s="95"/>
    </row>
    <row r="168" ht="15.75" customHeight="1">
      <c r="A168" s="95">
        <v>143.0</v>
      </c>
      <c r="B168" s="95" t="s">
        <v>448</v>
      </c>
      <c r="C168" s="95" t="s">
        <v>55</v>
      </c>
      <c r="D168" s="95" t="s">
        <v>446</v>
      </c>
      <c r="E168" s="95" t="s">
        <v>57</v>
      </c>
      <c r="F168" s="95"/>
      <c r="G168" s="95"/>
      <c r="H168" s="95"/>
      <c r="I168" s="95"/>
      <c r="J168" s="95"/>
      <c r="K168" s="95">
        <f t="shared" si="1"/>
        <v>0</v>
      </c>
      <c r="L168" s="95"/>
      <c r="M168" s="95"/>
      <c r="N168" s="95"/>
      <c r="O168" s="95">
        <f t="shared" si="2"/>
        <v>0</v>
      </c>
      <c r="P168" s="95"/>
      <c r="Q168" s="95"/>
      <c r="R168" s="95"/>
      <c r="S168" s="95"/>
    </row>
    <row r="169" ht="15.75" customHeight="1">
      <c r="A169" s="95">
        <v>144.0</v>
      </c>
      <c r="B169" s="95" t="s">
        <v>449</v>
      </c>
      <c r="C169" s="95" t="s">
        <v>55</v>
      </c>
      <c r="D169" s="95" t="s">
        <v>446</v>
      </c>
      <c r="E169" s="95" t="s">
        <v>57</v>
      </c>
      <c r="F169" s="95"/>
      <c r="G169" s="95"/>
      <c r="H169" s="95"/>
      <c r="I169" s="95"/>
      <c r="J169" s="95"/>
      <c r="K169" s="95">
        <f t="shared" si="1"/>
        <v>0</v>
      </c>
      <c r="L169" s="95"/>
      <c r="M169" s="95"/>
      <c r="N169" s="95"/>
      <c r="O169" s="95">
        <f t="shared" si="2"/>
        <v>0</v>
      </c>
      <c r="P169" s="95"/>
      <c r="Q169" s="95"/>
      <c r="R169" s="95"/>
      <c r="S169" s="95"/>
    </row>
    <row r="170" ht="15.75" customHeight="1">
      <c r="A170" s="95">
        <v>145.0</v>
      </c>
      <c r="B170" s="95" t="s">
        <v>450</v>
      </c>
      <c r="C170" s="95" t="s">
        <v>55</v>
      </c>
      <c r="D170" s="95" t="s">
        <v>446</v>
      </c>
      <c r="E170" s="95" t="s">
        <v>57</v>
      </c>
      <c r="F170" s="96" t="s">
        <v>63</v>
      </c>
      <c r="G170" s="96">
        <v>0.0</v>
      </c>
      <c r="H170" s="96">
        <v>2.0</v>
      </c>
      <c r="I170" s="96">
        <v>134.0</v>
      </c>
      <c r="J170" s="95"/>
      <c r="K170" s="95">
        <f t="shared" si="1"/>
        <v>134</v>
      </c>
      <c r="L170" s="95"/>
      <c r="M170" s="95"/>
      <c r="N170" s="95"/>
      <c r="O170" s="95">
        <f t="shared" si="2"/>
        <v>0</v>
      </c>
      <c r="P170" s="95"/>
      <c r="Q170" s="95"/>
      <c r="R170" s="95"/>
      <c r="S170" s="95"/>
    </row>
    <row r="171" ht="15.75" customHeight="1">
      <c r="A171" s="95">
        <v>146.0</v>
      </c>
      <c r="B171" s="95" t="s">
        <v>454</v>
      </c>
      <c r="C171" s="95" t="s">
        <v>55</v>
      </c>
      <c r="D171" s="95" t="s">
        <v>446</v>
      </c>
      <c r="E171" s="95" t="s">
        <v>57</v>
      </c>
      <c r="F171" s="95"/>
      <c r="G171" s="95"/>
      <c r="H171" s="95"/>
      <c r="I171" s="95"/>
      <c r="J171" s="95"/>
      <c r="K171" s="95">
        <f t="shared" si="1"/>
        <v>0</v>
      </c>
      <c r="L171" s="95"/>
      <c r="M171" s="95"/>
      <c r="N171" s="95"/>
      <c r="O171" s="95">
        <f t="shared" si="2"/>
        <v>0</v>
      </c>
      <c r="P171" s="95"/>
      <c r="Q171" s="95"/>
      <c r="R171" s="95"/>
      <c r="S171" s="95"/>
    </row>
    <row r="172" ht="15.75" customHeight="1">
      <c r="A172" s="95">
        <v>147.0</v>
      </c>
      <c r="B172" s="95" t="s">
        <v>455</v>
      </c>
      <c r="C172" s="95" t="s">
        <v>55</v>
      </c>
      <c r="D172" s="95" t="s">
        <v>446</v>
      </c>
      <c r="E172" s="95" t="s">
        <v>57</v>
      </c>
      <c r="F172" s="95"/>
      <c r="G172" s="95"/>
      <c r="H172" s="95"/>
      <c r="I172" s="95"/>
      <c r="J172" s="95"/>
      <c r="K172" s="95">
        <f t="shared" si="1"/>
        <v>0</v>
      </c>
      <c r="L172" s="95"/>
      <c r="M172" s="95"/>
      <c r="N172" s="95"/>
      <c r="O172" s="95">
        <f t="shared" si="2"/>
        <v>0</v>
      </c>
      <c r="P172" s="95"/>
      <c r="Q172" s="95"/>
      <c r="R172" s="95"/>
      <c r="S172" s="95"/>
    </row>
    <row r="173" ht="15.75" customHeight="1">
      <c r="A173" s="95">
        <v>148.0</v>
      </c>
      <c r="B173" s="95" t="s">
        <v>456</v>
      </c>
      <c r="C173" s="95" t="s">
        <v>55</v>
      </c>
      <c r="D173" s="95" t="s">
        <v>446</v>
      </c>
      <c r="E173" s="95" t="s">
        <v>57</v>
      </c>
      <c r="F173" s="95"/>
      <c r="G173" s="95"/>
      <c r="H173" s="95"/>
      <c r="I173" s="95"/>
      <c r="J173" s="95"/>
      <c r="K173" s="95">
        <f t="shared" si="1"/>
        <v>0</v>
      </c>
      <c r="L173" s="95"/>
      <c r="M173" s="95"/>
      <c r="N173" s="95"/>
      <c r="O173" s="95">
        <f t="shared" si="2"/>
        <v>0</v>
      </c>
      <c r="P173" s="95"/>
      <c r="Q173" s="95"/>
      <c r="R173" s="95"/>
      <c r="S173" s="95"/>
    </row>
    <row r="174" ht="15.75" customHeight="1">
      <c r="A174" s="95">
        <v>149.0</v>
      </c>
      <c r="B174" s="95" t="s">
        <v>457</v>
      </c>
      <c r="C174" s="95" t="s">
        <v>55</v>
      </c>
      <c r="D174" s="95" t="s">
        <v>446</v>
      </c>
      <c r="E174" s="95" t="s">
        <v>57</v>
      </c>
      <c r="F174" s="95"/>
      <c r="G174" s="95"/>
      <c r="H174" s="95"/>
      <c r="I174" s="95"/>
      <c r="J174" s="95"/>
      <c r="K174" s="95">
        <f t="shared" si="1"/>
        <v>0</v>
      </c>
      <c r="L174" s="95"/>
      <c r="M174" s="95"/>
      <c r="N174" s="95"/>
      <c r="O174" s="95">
        <f t="shared" si="2"/>
        <v>0</v>
      </c>
      <c r="P174" s="95"/>
      <c r="Q174" s="95"/>
      <c r="R174" s="95"/>
      <c r="S174" s="95"/>
    </row>
    <row r="175" ht="15.75" customHeight="1">
      <c r="A175" s="95">
        <v>150.0</v>
      </c>
      <c r="B175" s="95" t="s">
        <v>458</v>
      </c>
      <c r="C175" s="95" t="s">
        <v>55</v>
      </c>
      <c r="D175" s="95" t="s">
        <v>446</v>
      </c>
      <c r="E175" s="95" t="s">
        <v>57</v>
      </c>
      <c r="F175" s="95"/>
      <c r="G175" s="95"/>
      <c r="H175" s="95"/>
      <c r="I175" s="95"/>
      <c r="J175" s="95"/>
      <c r="K175" s="95">
        <f t="shared" si="1"/>
        <v>0</v>
      </c>
      <c r="L175" s="95"/>
      <c r="M175" s="95"/>
      <c r="N175" s="95"/>
      <c r="O175" s="95">
        <f t="shared" si="2"/>
        <v>0</v>
      </c>
      <c r="P175" s="95"/>
      <c r="Q175" s="95"/>
      <c r="R175" s="95"/>
      <c r="S175" s="95"/>
    </row>
    <row r="176" ht="15.75" customHeight="1">
      <c r="A176" s="95">
        <v>151.0</v>
      </c>
      <c r="B176" s="95" t="s">
        <v>459</v>
      </c>
      <c r="C176" s="95" t="s">
        <v>65</v>
      </c>
      <c r="D176" s="95" t="s">
        <v>446</v>
      </c>
      <c r="E176" s="95" t="s">
        <v>57</v>
      </c>
      <c r="F176" s="95"/>
      <c r="G176" s="95"/>
      <c r="H176" s="95"/>
      <c r="I176" s="95"/>
      <c r="J176" s="95"/>
      <c r="K176" s="95">
        <f t="shared" si="1"/>
        <v>0</v>
      </c>
      <c r="L176" s="95"/>
      <c r="M176" s="95"/>
      <c r="N176" s="95"/>
      <c r="O176" s="95">
        <f t="shared" si="2"/>
        <v>0</v>
      </c>
      <c r="P176" s="95"/>
      <c r="Q176" s="95"/>
      <c r="R176" s="95"/>
      <c r="S176" s="95"/>
    </row>
    <row r="177" ht="15.75" customHeight="1">
      <c r="A177" s="95">
        <v>152.0</v>
      </c>
      <c r="B177" s="95" t="s">
        <v>460</v>
      </c>
      <c r="C177" s="95" t="s">
        <v>65</v>
      </c>
      <c r="D177" s="95" t="s">
        <v>446</v>
      </c>
      <c r="E177" s="95" t="s">
        <v>57</v>
      </c>
      <c r="F177" s="95"/>
      <c r="G177" s="95"/>
      <c r="H177" s="95"/>
      <c r="I177" s="95"/>
      <c r="J177" s="95"/>
      <c r="K177" s="95">
        <f t="shared" si="1"/>
        <v>0</v>
      </c>
      <c r="L177" s="95"/>
      <c r="M177" s="95"/>
      <c r="N177" s="95"/>
      <c r="O177" s="95">
        <f t="shared" si="2"/>
        <v>0</v>
      </c>
      <c r="P177" s="95"/>
      <c r="Q177" s="95"/>
      <c r="R177" s="95"/>
      <c r="S177" s="95"/>
    </row>
    <row r="178" ht="15.75" customHeight="1">
      <c r="A178" s="95">
        <v>153.0</v>
      </c>
      <c r="B178" s="95" t="s">
        <v>461</v>
      </c>
      <c r="C178" s="95" t="s">
        <v>65</v>
      </c>
      <c r="D178" s="95" t="s">
        <v>446</v>
      </c>
      <c r="E178" s="95" t="s">
        <v>57</v>
      </c>
      <c r="F178" s="95"/>
      <c r="G178" s="95"/>
      <c r="H178" s="95"/>
      <c r="I178" s="95"/>
      <c r="J178" s="95"/>
      <c r="K178" s="95">
        <f t="shared" si="1"/>
        <v>0</v>
      </c>
      <c r="L178" s="95"/>
      <c r="M178" s="95"/>
      <c r="N178" s="95"/>
      <c r="O178" s="95">
        <f t="shared" si="2"/>
        <v>0</v>
      </c>
      <c r="P178" s="95"/>
      <c r="Q178" s="95"/>
      <c r="R178" s="95"/>
      <c r="S178" s="95"/>
    </row>
    <row r="179" ht="15.75" customHeight="1">
      <c r="A179" s="95">
        <v>154.0</v>
      </c>
      <c r="B179" s="95" t="s">
        <v>462</v>
      </c>
      <c r="C179" s="95" t="s">
        <v>65</v>
      </c>
      <c r="D179" s="95" t="s">
        <v>446</v>
      </c>
      <c r="E179" s="95" t="s">
        <v>57</v>
      </c>
      <c r="F179" s="95"/>
      <c r="G179" s="95"/>
      <c r="H179" s="95"/>
      <c r="I179" s="95"/>
      <c r="J179" s="95"/>
      <c r="K179" s="95">
        <f t="shared" si="1"/>
        <v>0</v>
      </c>
      <c r="L179" s="95"/>
      <c r="M179" s="95"/>
      <c r="N179" s="95"/>
      <c r="O179" s="95">
        <f t="shared" si="2"/>
        <v>0</v>
      </c>
      <c r="P179" s="95"/>
      <c r="Q179" s="95"/>
      <c r="R179" s="95"/>
      <c r="S179" s="95"/>
    </row>
    <row r="180" ht="15.75" customHeight="1">
      <c r="A180" s="95">
        <v>155.0</v>
      </c>
      <c r="B180" s="95" t="s">
        <v>463</v>
      </c>
      <c r="C180" s="95" t="s">
        <v>65</v>
      </c>
      <c r="D180" s="95" t="s">
        <v>446</v>
      </c>
      <c r="E180" s="95" t="s">
        <v>57</v>
      </c>
      <c r="F180" s="95"/>
      <c r="G180" s="95"/>
      <c r="H180" s="95"/>
      <c r="I180" s="95"/>
      <c r="J180" s="95"/>
      <c r="K180" s="95">
        <f t="shared" si="1"/>
        <v>0</v>
      </c>
      <c r="L180" s="95"/>
      <c r="M180" s="95"/>
      <c r="N180" s="95"/>
      <c r="O180" s="95">
        <f t="shared" si="2"/>
        <v>0</v>
      </c>
      <c r="P180" s="95"/>
      <c r="Q180" s="95"/>
      <c r="R180" s="95"/>
      <c r="S180" s="95"/>
    </row>
    <row r="181" ht="15.75" customHeight="1">
      <c r="A181" s="95">
        <v>156.0</v>
      </c>
      <c r="B181" s="95" t="s">
        <v>465</v>
      </c>
      <c r="C181" s="95" t="s">
        <v>65</v>
      </c>
      <c r="D181" s="95" t="s">
        <v>446</v>
      </c>
      <c r="E181" s="95" t="s">
        <v>57</v>
      </c>
      <c r="F181" s="95"/>
      <c r="G181" s="95"/>
      <c r="H181" s="95"/>
      <c r="I181" s="95"/>
      <c r="J181" s="95"/>
      <c r="K181" s="95">
        <f t="shared" si="1"/>
        <v>0</v>
      </c>
      <c r="L181" s="95"/>
      <c r="M181" s="95"/>
      <c r="N181" s="95"/>
      <c r="O181" s="95">
        <f t="shared" si="2"/>
        <v>0</v>
      </c>
      <c r="P181" s="95"/>
      <c r="Q181" s="95"/>
      <c r="R181" s="95"/>
      <c r="S181" s="95"/>
    </row>
    <row r="182" ht="15.75" customHeight="1">
      <c r="A182" s="95">
        <v>157.0</v>
      </c>
      <c r="B182" s="95" t="s">
        <v>466</v>
      </c>
      <c r="C182" s="95" t="s">
        <v>65</v>
      </c>
      <c r="D182" s="95" t="s">
        <v>446</v>
      </c>
      <c r="E182" s="95" t="s">
        <v>57</v>
      </c>
      <c r="F182" s="95"/>
      <c r="G182" s="95"/>
      <c r="H182" s="95"/>
      <c r="I182" s="95"/>
      <c r="J182" s="95"/>
      <c r="K182" s="95">
        <f t="shared" si="1"/>
        <v>0</v>
      </c>
      <c r="L182" s="95"/>
      <c r="M182" s="95"/>
      <c r="N182" s="95"/>
      <c r="O182" s="95">
        <f t="shared" si="2"/>
        <v>0</v>
      </c>
      <c r="P182" s="95"/>
      <c r="Q182" s="95"/>
      <c r="R182" s="95"/>
      <c r="S182" s="95"/>
    </row>
    <row r="183" ht="15.75" customHeight="1">
      <c r="A183" s="95">
        <v>158.0</v>
      </c>
      <c r="B183" s="95" t="s">
        <v>467</v>
      </c>
      <c r="C183" s="95" t="s">
        <v>65</v>
      </c>
      <c r="D183" s="95" t="s">
        <v>446</v>
      </c>
      <c r="E183" s="95" t="s">
        <v>57</v>
      </c>
      <c r="F183" s="95"/>
      <c r="G183" s="95"/>
      <c r="H183" s="95"/>
      <c r="I183" s="95"/>
      <c r="J183" s="95"/>
      <c r="K183" s="95">
        <f t="shared" si="1"/>
        <v>0</v>
      </c>
      <c r="L183" s="95"/>
      <c r="M183" s="95"/>
      <c r="N183" s="95"/>
      <c r="O183" s="95">
        <f t="shared" si="2"/>
        <v>0</v>
      </c>
      <c r="P183" s="95"/>
      <c r="Q183" s="95"/>
      <c r="R183" s="95"/>
      <c r="S183" s="95"/>
    </row>
    <row r="184" ht="15.75" customHeight="1">
      <c r="A184" s="95">
        <v>159.0</v>
      </c>
      <c r="B184" s="95" t="s">
        <v>468</v>
      </c>
      <c r="C184" s="95" t="s">
        <v>65</v>
      </c>
      <c r="D184" s="95" t="s">
        <v>446</v>
      </c>
      <c r="E184" s="95" t="s">
        <v>57</v>
      </c>
      <c r="F184" s="95"/>
      <c r="G184" s="95"/>
      <c r="H184" s="95"/>
      <c r="I184" s="95"/>
      <c r="J184" s="95"/>
      <c r="K184" s="95">
        <f t="shared" si="1"/>
        <v>0</v>
      </c>
      <c r="L184" s="95"/>
      <c r="M184" s="95"/>
      <c r="N184" s="95"/>
      <c r="O184" s="95">
        <f t="shared" si="2"/>
        <v>0</v>
      </c>
      <c r="P184" s="95"/>
      <c r="Q184" s="95"/>
      <c r="R184" s="95"/>
      <c r="S184" s="95"/>
    </row>
    <row r="185" ht="15.75" customHeight="1">
      <c r="A185" s="95">
        <v>160.0</v>
      </c>
      <c r="B185" s="95" t="s">
        <v>469</v>
      </c>
      <c r="C185" s="95" t="s">
        <v>65</v>
      </c>
      <c r="D185" s="95" t="s">
        <v>446</v>
      </c>
      <c r="E185" s="95" t="s">
        <v>57</v>
      </c>
      <c r="F185" s="95"/>
      <c r="G185" s="95"/>
      <c r="H185" s="95"/>
      <c r="I185" s="95"/>
      <c r="J185" s="95"/>
      <c r="K185" s="95">
        <f t="shared" si="1"/>
        <v>0</v>
      </c>
      <c r="L185" s="95"/>
      <c r="M185" s="95"/>
      <c r="N185" s="95"/>
      <c r="O185" s="95">
        <f t="shared" si="2"/>
        <v>0</v>
      </c>
      <c r="P185" s="95"/>
      <c r="Q185" s="95"/>
      <c r="R185" s="95"/>
      <c r="S185" s="95"/>
    </row>
    <row r="186" ht="15.75" customHeight="1">
      <c r="A186" s="95">
        <v>161.0</v>
      </c>
      <c r="B186" s="95" t="s">
        <v>470</v>
      </c>
      <c r="C186" s="95" t="s">
        <v>69</v>
      </c>
      <c r="D186" s="95" t="s">
        <v>446</v>
      </c>
      <c r="E186" s="95" t="s">
        <v>57</v>
      </c>
      <c r="F186" s="95"/>
      <c r="G186" s="95"/>
      <c r="H186" s="95"/>
      <c r="I186" s="95"/>
      <c r="J186" s="95"/>
      <c r="K186" s="95">
        <f t="shared" si="1"/>
        <v>0</v>
      </c>
      <c r="L186" s="95"/>
      <c r="M186" s="95"/>
      <c r="N186" s="95"/>
      <c r="O186" s="95">
        <f t="shared" si="2"/>
        <v>0</v>
      </c>
      <c r="P186" s="95"/>
      <c r="Q186" s="95"/>
      <c r="R186" s="95"/>
      <c r="S186" s="95"/>
    </row>
    <row r="187" ht="15.75" customHeight="1">
      <c r="A187" s="95">
        <v>162.0</v>
      </c>
      <c r="B187" s="95" t="s">
        <v>471</v>
      </c>
      <c r="C187" s="95" t="s">
        <v>69</v>
      </c>
      <c r="D187" s="95" t="s">
        <v>446</v>
      </c>
      <c r="E187" s="95" t="s">
        <v>57</v>
      </c>
      <c r="F187" s="95"/>
      <c r="G187" s="95"/>
      <c r="H187" s="95"/>
      <c r="I187" s="95"/>
      <c r="J187" s="95"/>
      <c r="K187" s="95">
        <f t="shared" si="1"/>
        <v>0</v>
      </c>
      <c r="L187" s="95"/>
      <c r="M187" s="95"/>
      <c r="N187" s="95"/>
      <c r="O187" s="95">
        <f t="shared" si="2"/>
        <v>0</v>
      </c>
      <c r="P187" s="95"/>
      <c r="Q187" s="95"/>
      <c r="R187" s="95"/>
      <c r="S187" s="95"/>
    </row>
    <row r="188" ht="15.75" customHeight="1">
      <c r="A188" s="95">
        <v>163.0</v>
      </c>
      <c r="B188" s="95" t="s">
        <v>472</v>
      </c>
      <c r="C188" s="95" t="s">
        <v>69</v>
      </c>
      <c r="D188" s="95" t="s">
        <v>446</v>
      </c>
      <c r="E188" s="95" t="s">
        <v>57</v>
      </c>
      <c r="F188" s="95"/>
      <c r="G188" s="95"/>
      <c r="H188" s="95"/>
      <c r="I188" s="95"/>
      <c r="J188" s="95"/>
      <c r="K188" s="95">
        <f t="shared" si="1"/>
        <v>0</v>
      </c>
      <c r="L188" s="95"/>
      <c r="M188" s="95"/>
      <c r="N188" s="95"/>
      <c r="O188" s="95">
        <f t="shared" si="2"/>
        <v>0</v>
      </c>
      <c r="P188" s="95"/>
      <c r="Q188" s="95"/>
      <c r="R188" s="95"/>
      <c r="S188" s="95"/>
    </row>
    <row r="189" ht="15.75" customHeight="1">
      <c r="A189" s="95">
        <v>164.0</v>
      </c>
      <c r="B189" s="95" t="s">
        <v>473</v>
      </c>
      <c r="C189" s="95" t="s">
        <v>69</v>
      </c>
      <c r="D189" s="95" t="s">
        <v>446</v>
      </c>
      <c r="E189" s="95" t="s">
        <v>57</v>
      </c>
      <c r="F189" s="95"/>
      <c r="G189" s="95"/>
      <c r="H189" s="95"/>
      <c r="I189" s="95"/>
      <c r="J189" s="95"/>
      <c r="K189" s="95">
        <f t="shared" si="1"/>
        <v>0</v>
      </c>
      <c r="L189" s="95"/>
      <c r="M189" s="95"/>
      <c r="N189" s="95"/>
      <c r="O189" s="95">
        <f t="shared" si="2"/>
        <v>0</v>
      </c>
      <c r="P189" s="95"/>
      <c r="Q189" s="95"/>
      <c r="R189" s="95"/>
      <c r="S189" s="95"/>
    </row>
    <row r="190" ht="15.75" customHeight="1">
      <c r="A190" s="95">
        <v>165.0</v>
      </c>
      <c r="B190" s="95" t="s">
        <v>474</v>
      </c>
      <c r="C190" s="95" t="s">
        <v>69</v>
      </c>
      <c r="D190" s="95" t="s">
        <v>446</v>
      </c>
      <c r="E190" s="95" t="s">
        <v>57</v>
      </c>
      <c r="F190" s="95"/>
      <c r="G190" s="95"/>
      <c r="H190" s="95"/>
      <c r="I190" s="95"/>
      <c r="J190" s="95"/>
      <c r="K190" s="95">
        <f t="shared" si="1"/>
        <v>0</v>
      </c>
      <c r="L190" s="95"/>
      <c r="M190" s="95"/>
      <c r="N190" s="95"/>
      <c r="O190" s="95">
        <f t="shared" si="2"/>
        <v>0</v>
      </c>
      <c r="P190" s="95"/>
      <c r="Q190" s="95"/>
      <c r="R190" s="95"/>
      <c r="S190" s="95"/>
    </row>
    <row r="191" ht="15.75" customHeight="1">
      <c r="A191" s="95">
        <v>166.0</v>
      </c>
      <c r="B191" s="95" t="s">
        <v>476</v>
      </c>
      <c r="C191" s="95" t="s">
        <v>69</v>
      </c>
      <c r="D191" s="95" t="s">
        <v>446</v>
      </c>
      <c r="E191" s="95" t="s">
        <v>57</v>
      </c>
      <c r="F191" s="95"/>
      <c r="G191" s="95"/>
      <c r="H191" s="95"/>
      <c r="I191" s="95"/>
      <c r="J191" s="95"/>
      <c r="K191" s="95">
        <f t="shared" si="1"/>
        <v>0</v>
      </c>
      <c r="L191" s="95"/>
      <c r="M191" s="95"/>
      <c r="N191" s="95"/>
      <c r="O191" s="95">
        <f t="shared" si="2"/>
        <v>0</v>
      </c>
      <c r="P191" s="95"/>
      <c r="Q191" s="95"/>
      <c r="R191" s="95"/>
      <c r="S191" s="95"/>
    </row>
    <row r="192" ht="15.75" customHeight="1">
      <c r="A192" s="95">
        <v>167.0</v>
      </c>
      <c r="B192" s="95" t="s">
        <v>477</v>
      </c>
      <c r="C192" s="95" t="s">
        <v>69</v>
      </c>
      <c r="D192" s="95" t="s">
        <v>446</v>
      </c>
      <c r="E192" s="95" t="s">
        <v>57</v>
      </c>
      <c r="F192" s="95"/>
      <c r="G192" s="95"/>
      <c r="H192" s="95"/>
      <c r="I192" s="95"/>
      <c r="J192" s="95"/>
      <c r="K192" s="95">
        <f t="shared" si="1"/>
        <v>0</v>
      </c>
      <c r="L192" s="95"/>
      <c r="M192" s="95"/>
      <c r="N192" s="95"/>
      <c r="O192" s="95">
        <f t="shared" si="2"/>
        <v>0</v>
      </c>
      <c r="P192" s="95"/>
      <c r="Q192" s="95"/>
      <c r="R192" s="95"/>
      <c r="S192" s="95"/>
    </row>
    <row r="193" ht="15.75" customHeight="1">
      <c r="A193" s="95">
        <v>168.0</v>
      </c>
      <c r="B193" s="95" t="s">
        <v>478</v>
      </c>
      <c r="C193" s="95" t="s">
        <v>69</v>
      </c>
      <c r="D193" s="95" t="s">
        <v>446</v>
      </c>
      <c r="E193" s="95" t="s">
        <v>57</v>
      </c>
      <c r="F193" s="95"/>
      <c r="G193" s="95"/>
      <c r="H193" s="95"/>
      <c r="I193" s="95"/>
      <c r="J193" s="95"/>
      <c r="K193" s="95">
        <f t="shared" si="1"/>
        <v>0</v>
      </c>
      <c r="L193" s="95"/>
      <c r="M193" s="95"/>
      <c r="N193" s="95"/>
      <c r="O193" s="95">
        <f t="shared" si="2"/>
        <v>0</v>
      </c>
      <c r="P193" s="95"/>
      <c r="Q193" s="95"/>
      <c r="R193" s="95"/>
      <c r="S193" s="95"/>
    </row>
    <row r="194" ht="15.75" customHeight="1">
      <c r="A194" s="95">
        <v>169.0</v>
      </c>
      <c r="B194" s="95" t="s">
        <v>479</v>
      </c>
      <c r="C194" s="95" t="s">
        <v>69</v>
      </c>
      <c r="D194" s="95" t="s">
        <v>446</v>
      </c>
      <c r="E194" s="95" t="s">
        <v>57</v>
      </c>
      <c r="F194" s="95"/>
      <c r="G194" s="95"/>
      <c r="H194" s="95"/>
      <c r="I194" s="95"/>
      <c r="J194" s="95"/>
      <c r="K194" s="95">
        <f t="shared" si="1"/>
        <v>0</v>
      </c>
      <c r="L194" s="95"/>
      <c r="M194" s="95"/>
      <c r="N194" s="95"/>
      <c r="O194" s="95">
        <f t="shared" si="2"/>
        <v>0</v>
      </c>
      <c r="P194" s="95"/>
      <c r="Q194" s="95"/>
      <c r="R194" s="95"/>
      <c r="S194" s="95"/>
    </row>
    <row r="195" ht="15.75" customHeight="1">
      <c r="A195" s="95">
        <v>170.0</v>
      </c>
      <c r="B195" s="95" t="s">
        <v>480</v>
      </c>
      <c r="C195" s="95" t="s">
        <v>69</v>
      </c>
      <c r="D195" s="95" t="s">
        <v>446</v>
      </c>
      <c r="E195" s="95" t="s">
        <v>57</v>
      </c>
      <c r="F195" s="95"/>
      <c r="G195" s="95"/>
      <c r="H195" s="95"/>
      <c r="I195" s="95"/>
      <c r="J195" s="95"/>
      <c r="K195" s="95">
        <f t="shared" si="1"/>
        <v>0</v>
      </c>
      <c r="L195" s="95"/>
      <c r="M195" s="95"/>
      <c r="N195" s="95"/>
      <c r="O195" s="95">
        <f t="shared" si="2"/>
        <v>0</v>
      </c>
      <c r="P195" s="95"/>
      <c r="Q195" s="95"/>
      <c r="R195" s="95"/>
      <c r="S195" s="95"/>
    </row>
    <row r="196" ht="15.75" customHeight="1">
      <c r="A196" s="95">
        <v>171.0</v>
      </c>
      <c r="B196" s="95" t="s">
        <v>481</v>
      </c>
      <c r="C196" s="95" t="s">
        <v>72</v>
      </c>
      <c r="D196" s="95" t="s">
        <v>446</v>
      </c>
      <c r="E196" s="95" t="s">
        <v>57</v>
      </c>
      <c r="F196" s="95"/>
      <c r="G196" s="95"/>
      <c r="H196" s="95"/>
      <c r="I196" s="95"/>
      <c r="J196" s="95"/>
      <c r="K196" s="95">
        <f t="shared" si="1"/>
        <v>0</v>
      </c>
      <c r="L196" s="95"/>
      <c r="M196" s="95"/>
      <c r="N196" s="95"/>
      <c r="O196" s="95">
        <f t="shared" si="2"/>
        <v>0</v>
      </c>
      <c r="P196" s="95"/>
      <c r="Q196" s="95"/>
      <c r="R196" s="95"/>
      <c r="S196" s="95"/>
    </row>
    <row r="197" ht="15.75" customHeight="1">
      <c r="A197" s="95">
        <v>172.0</v>
      </c>
      <c r="B197" s="95" t="s">
        <v>482</v>
      </c>
      <c r="C197" s="95" t="s">
        <v>72</v>
      </c>
      <c r="D197" s="95" t="s">
        <v>446</v>
      </c>
      <c r="E197" s="95" t="s">
        <v>57</v>
      </c>
      <c r="F197" s="95"/>
      <c r="G197" s="95"/>
      <c r="H197" s="95"/>
      <c r="I197" s="95"/>
      <c r="J197" s="95"/>
      <c r="K197" s="95">
        <f t="shared" si="1"/>
        <v>0</v>
      </c>
      <c r="L197" s="95"/>
      <c r="M197" s="95"/>
      <c r="N197" s="95"/>
      <c r="O197" s="95">
        <f t="shared" si="2"/>
        <v>0</v>
      </c>
      <c r="P197" s="95"/>
      <c r="Q197" s="95"/>
      <c r="R197" s="95"/>
      <c r="S197" s="95"/>
    </row>
    <row r="198" ht="15.75" customHeight="1">
      <c r="A198" s="95">
        <v>173.0</v>
      </c>
      <c r="B198" s="95" t="s">
        <v>483</v>
      </c>
      <c r="C198" s="95" t="s">
        <v>72</v>
      </c>
      <c r="D198" s="95" t="s">
        <v>446</v>
      </c>
      <c r="E198" s="95" t="s">
        <v>57</v>
      </c>
      <c r="F198" s="95"/>
      <c r="G198" s="95"/>
      <c r="H198" s="95"/>
      <c r="I198" s="95"/>
      <c r="J198" s="95"/>
      <c r="K198" s="95">
        <f t="shared" si="1"/>
        <v>0</v>
      </c>
      <c r="L198" s="95"/>
      <c r="M198" s="95"/>
      <c r="N198" s="95"/>
      <c r="O198" s="95">
        <f t="shared" si="2"/>
        <v>0</v>
      </c>
      <c r="P198" s="95"/>
      <c r="Q198" s="95"/>
      <c r="R198" s="95"/>
      <c r="S198" s="95"/>
    </row>
    <row r="199" ht="15.75" customHeight="1">
      <c r="A199" s="95">
        <v>174.0</v>
      </c>
      <c r="B199" s="95" t="s">
        <v>484</v>
      </c>
      <c r="C199" s="95" t="s">
        <v>72</v>
      </c>
      <c r="D199" s="95" t="s">
        <v>446</v>
      </c>
      <c r="E199" s="95" t="s">
        <v>57</v>
      </c>
      <c r="F199" s="95"/>
      <c r="G199" s="95"/>
      <c r="H199" s="95"/>
      <c r="I199" s="95"/>
      <c r="J199" s="95"/>
      <c r="K199" s="95">
        <f t="shared" si="1"/>
        <v>0</v>
      </c>
      <c r="L199" s="95"/>
      <c r="M199" s="95"/>
      <c r="N199" s="95"/>
      <c r="O199" s="95">
        <f t="shared" si="2"/>
        <v>0</v>
      </c>
      <c r="P199" s="95"/>
      <c r="Q199" s="95"/>
      <c r="R199" s="95"/>
      <c r="S199" s="95"/>
    </row>
    <row r="200" ht="15.75" customHeight="1">
      <c r="A200" s="95">
        <v>175.0</v>
      </c>
      <c r="B200" s="95" t="s">
        <v>485</v>
      </c>
      <c r="C200" s="95" t="s">
        <v>72</v>
      </c>
      <c r="D200" s="95" t="s">
        <v>446</v>
      </c>
      <c r="E200" s="95" t="s">
        <v>57</v>
      </c>
      <c r="F200" s="95"/>
      <c r="G200" s="95"/>
      <c r="H200" s="95"/>
      <c r="I200" s="95"/>
      <c r="J200" s="95"/>
      <c r="K200" s="95">
        <f t="shared" si="1"/>
        <v>0</v>
      </c>
      <c r="L200" s="95"/>
      <c r="M200" s="95"/>
      <c r="N200" s="95"/>
      <c r="O200" s="95">
        <f t="shared" si="2"/>
        <v>0</v>
      </c>
      <c r="P200" s="95"/>
      <c r="Q200" s="95"/>
      <c r="R200" s="95"/>
      <c r="S200" s="95"/>
    </row>
    <row r="201" ht="15.75" customHeight="1">
      <c r="A201" s="95">
        <v>176.0</v>
      </c>
      <c r="B201" s="95" t="s">
        <v>487</v>
      </c>
      <c r="C201" s="95" t="s">
        <v>72</v>
      </c>
      <c r="D201" s="95" t="s">
        <v>446</v>
      </c>
      <c r="E201" s="95" t="s">
        <v>57</v>
      </c>
      <c r="F201" s="95"/>
      <c r="G201" s="95"/>
      <c r="H201" s="95"/>
      <c r="I201" s="95"/>
      <c r="J201" s="95"/>
      <c r="K201" s="95">
        <f t="shared" si="1"/>
        <v>0</v>
      </c>
      <c r="L201" s="95"/>
      <c r="M201" s="95"/>
      <c r="N201" s="95"/>
      <c r="O201" s="95">
        <f t="shared" si="2"/>
        <v>0</v>
      </c>
      <c r="P201" s="95"/>
      <c r="Q201" s="95"/>
      <c r="R201" s="95"/>
      <c r="S201" s="95"/>
    </row>
    <row r="202" ht="15.75" customHeight="1">
      <c r="A202" s="95">
        <v>177.0</v>
      </c>
      <c r="B202" s="95" t="s">
        <v>488</v>
      </c>
      <c r="C202" s="95" t="s">
        <v>72</v>
      </c>
      <c r="D202" s="95" t="s">
        <v>446</v>
      </c>
      <c r="E202" s="95" t="s">
        <v>57</v>
      </c>
      <c r="F202" s="95"/>
      <c r="G202" s="95"/>
      <c r="H202" s="95"/>
      <c r="I202" s="95"/>
      <c r="J202" s="95"/>
      <c r="K202" s="95">
        <f t="shared" si="1"/>
        <v>0</v>
      </c>
      <c r="L202" s="95"/>
      <c r="M202" s="95"/>
      <c r="N202" s="95"/>
      <c r="O202" s="95">
        <f t="shared" si="2"/>
        <v>0</v>
      </c>
      <c r="P202" s="95"/>
      <c r="Q202" s="95"/>
      <c r="R202" s="95"/>
      <c r="S202" s="95"/>
    </row>
    <row r="203" ht="15.75" customHeight="1">
      <c r="A203" s="95">
        <v>178.0</v>
      </c>
      <c r="B203" s="95" t="s">
        <v>489</v>
      </c>
      <c r="C203" s="95" t="s">
        <v>72</v>
      </c>
      <c r="D203" s="95" t="s">
        <v>446</v>
      </c>
      <c r="E203" s="95" t="s">
        <v>57</v>
      </c>
      <c r="F203" s="95"/>
      <c r="G203" s="95"/>
      <c r="H203" s="95"/>
      <c r="I203" s="95"/>
      <c r="J203" s="95"/>
      <c r="K203" s="95">
        <f t="shared" si="1"/>
        <v>0</v>
      </c>
      <c r="L203" s="95"/>
      <c r="M203" s="95"/>
      <c r="N203" s="95"/>
      <c r="O203" s="95">
        <f t="shared" si="2"/>
        <v>0</v>
      </c>
      <c r="P203" s="95"/>
      <c r="Q203" s="95"/>
      <c r="R203" s="95"/>
      <c r="S203" s="95"/>
    </row>
    <row r="204" ht="15.75" customHeight="1">
      <c r="A204" s="95">
        <v>179.0</v>
      </c>
      <c r="B204" s="95" t="s">
        <v>490</v>
      </c>
      <c r="C204" s="95" t="s">
        <v>72</v>
      </c>
      <c r="D204" s="95" t="s">
        <v>446</v>
      </c>
      <c r="E204" s="95" t="s">
        <v>57</v>
      </c>
      <c r="F204" s="95"/>
      <c r="G204" s="95"/>
      <c r="H204" s="95"/>
      <c r="I204" s="95"/>
      <c r="J204" s="95"/>
      <c r="K204" s="95">
        <f t="shared" si="1"/>
        <v>0</v>
      </c>
      <c r="L204" s="95"/>
      <c r="M204" s="95"/>
      <c r="N204" s="95"/>
      <c r="O204" s="95">
        <f t="shared" si="2"/>
        <v>0</v>
      </c>
      <c r="P204" s="95"/>
      <c r="Q204" s="95"/>
      <c r="R204" s="95"/>
      <c r="S204" s="95"/>
    </row>
    <row r="205" ht="15.75" customHeight="1">
      <c r="A205" s="95">
        <v>180.0</v>
      </c>
      <c r="B205" s="95" t="s">
        <v>491</v>
      </c>
      <c r="C205" s="95" t="s">
        <v>72</v>
      </c>
      <c r="D205" s="95" t="s">
        <v>446</v>
      </c>
      <c r="E205" s="95" t="s">
        <v>57</v>
      </c>
      <c r="F205" s="95"/>
      <c r="G205" s="95"/>
      <c r="H205" s="95"/>
      <c r="I205" s="95"/>
      <c r="J205" s="95"/>
      <c r="K205" s="95">
        <f t="shared" si="1"/>
        <v>0</v>
      </c>
      <c r="L205" s="95"/>
      <c r="M205" s="95"/>
      <c r="N205" s="95"/>
      <c r="O205" s="95">
        <f t="shared" si="2"/>
        <v>0</v>
      </c>
      <c r="P205" s="95"/>
      <c r="Q205" s="95"/>
      <c r="R205" s="95"/>
      <c r="S205" s="95"/>
    </row>
    <row r="206" ht="15.75" customHeight="1">
      <c r="A206" s="95">
        <v>171.0</v>
      </c>
      <c r="B206" s="96" t="s">
        <v>521</v>
      </c>
      <c r="C206" s="96" t="s">
        <v>428</v>
      </c>
      <c r="D206" s="95" t="s">
        <v>446</v>
      </c>
      <c r="E206" s="95" t="s">
        <v>57</v>
      </c>
      <c r="F206" s="95"/>
      <c r="G206" s="95"/>
      <c r="H206" s="95"/>
      <c r="I206" s="95"/>
      <c r="J206" s="95"/>
      <c r="K206" s="95">
        <f t="shared" si="1"/>
        <v>0</v>
      </c>
      <c r="L206" s="95"/>
      <c r="M206" s="95"/>
      <c r="N206" s="95"/>
      <c r="O206" s="95">
        <f t="shared" si="2"/>
        <v>0</v>
      </c>
      <c r="P206" s="95"/>
      <c r="Q206" s="95"/>
      <c r="R206" s="95"/>
      <c r="S206" s="95"/>
    </row>
    <row r="207" ht="15.75" customHeight="1">
      <c r="A207" s="95">
        <v>172.0</v>
      </c>
      <c r="B207" s="96" t="s">
        <v>522</v>
      </c>
      <c r="C207" s="96" t="s">
        <v>428</v>
      </c>
      <c r="D207" s="95" t="s">
        <v>446</v>
      </c>
      <c r="E207" s="95" t="s">
        <v>57</v>
      </c>
      <c r="F207" s="95"/>
      <c r="G207" s="95"/>
      <c r="H207" s="95"/>
      <c r="I207" s="95"/>
      <c r="J207" s="95"/>
      <c r="K207" s="95">
        <f t="shared" si="1"/>
        <v>0</v>
      </c>
      <c r="L207" s="95"/>
      <c r="M207" s="95"/>
      <c r="N207" s="95"/>
      <c r="O207" s="95">
        <f t="shared" si="2"/>
        <v>0</v>
      </c>
      <c r="P207" s="95"/>
      <c r="Q207" s="95"/>
      <c r="R207" s="95"/>
      <c r="S207" s="95"/>
    </row>
    <row r="208" ht="15.75" customHeight="1">
      <c r="A208" s="95">
        <v>173.0</v>
      </c>
      <c r="B208" s="96" t="s">
        <v>523</v>
      </c>
      <c r="C208" s="96" t="s">
        <v>428</v>
      </c>
      <c r="D208" s="95" t="s">
        <v>446</v>
      </c>
      <c r="E208" s="95" t="s">
        <v>57</v>
      </c>
      <c r="F208" s="95"/>
      <c r="G208" s="95"/>
      <c r="H208" s="95"/>
      <c r="I208" s="95"/>
      <c r="J208" s="95"/>
      <c r="K208" s="95">
        <f t="shared" si="1"/>
        <v>0</v>
      </c>
      <c r="L208" s="95"/>
      <c r="M208" s="95"/>
      <c r="N208" s="95"/>
      <c r="O208" s="95">
        <f t="shared" si="2"/>
        <v>0</v>
      </c>
      <c r="P208" s="95"/>
      <c r="Q208" s="95"/>
      <c r="R208" s="95"/>
      <c r="S208" s="95"/>
    </row>
    <row r="209" ht="15.75" customHeight="1">
      <c r="A209" s="95">
        <v>174.0</v>
      </c>
      <c r="B209" s="96" t="s">
        <v>524</v>
      </c>
      <c r="C209" s="96" t="s">
        <v>428</v>
      </c>
      <c r="D209" s="95" t="s">
        <v>446</v>
      </c>
      <c r="E209" s="95" t="s">
        <v>57</v>
      </c>
      <c r="F209" s="95"/>
      <c r="G209" s="95"/>
      <c r="H209" s="95"/>
      <c r="I209" s="95"/>
      <c r="J209" s="95"/>
      <c r="K209" s="95">
        <f t="shared" si="1"/>
        <v>0</v>
      </c>
      <c r="L209" s="95"/>
      <c r="M209" s="95"/>
      <c r="N209" s="95"/>
      <c r="O209" s="95">
        <f t="shared" si="2"/>
        <v>0</v>
      </c>
      <c r="P209" s="95"/>
      <c r="Q209" s="95"/>
      <c r="R209" s="95"/>
      <c r="S209" s="95"/>
    </row>
    <row r="210" ht="15.75" customHeight="1">
      <c r="A210" s="95">
        <v>175.0</v>
      </c>
      <c r="B210" s="96" t="s">
        <v>525</v>
      </c>
      <c r="C210" s="96" t="s">
        <v>428</v>
      </c>
      <c r="D210" s="95" t="s">
        <v>446</v>
      </c>
      <c r="E210" s="95" t="s">
        <v>57</v>
      </c>
      <c r="F210" s="96" t="s">
        <v>63</v>
      </c>
      <c r="G210" s="96">
        <v>0.0</v>
      </c>
      <c r="H210" s="96">
        <v>3.0</v>
      </c>
      <c r="I210" s="96">
        <v>34.0</v>
      </c>
      <c r="J210" s="95"/>
      <c r="K210" s="95">
        <f t="shared" si="1"/>
        <v>34</v>
      </c>
      <c r="L210" s="96">
        <v>1.0</v>
      </c>
      <c r="M210" s="95"/>
      <c r="N210" s="95"/>
      <c r="O210" s="95">
        <f t="shared" si="2"/>
        <v>2.941176471</v>
      </c>
      <c r="P210" s="95"/>
      <c r="Q210" s="95"/>
      <c r="R210" s="95"/>
      <c r="S210" s="95"/>
    </row>
    <row r="211" ht="15.75" customHeight="1">
      <c r="A211" s="95">
        <v>176.0</v>
      </c>
      <c r="B211" s="96" t="s">
        <v>526</v>
      </c>
      <c r="C211" s="96" t="s">
        <v>428</v>
      </c>
      <c r="D211" s="95" t="s">
        <v>446</v>
      </c>
      <c r="E211" s="95" t="s">
        <v>57</v>
      </c>
      <c r="F211" s="95"/>
      <c r="G211" s="95"/>
      <c r="H211" s="95"/>
      <c r="I211" s="95"/>
      <c r="J211" s="95"/>
      <c r="K211" s="95">
        <f t="shared" si="1"/>
        <v>0</v>
      </c>
      <c r="L211" s="95"/>
      <c r="M211" s="95"/>
      <c r="N211" s="95"/>
      <c r="O211" s="95">
        <f t="shared" si="2"/>
        <v>0</v>
      </c>
      <c r="P211" s="95"/>
      <c r="Q211" s="95"/>
      <c r="R211" s="95"/>
      <c r="S211" s="95"/>
    </row>
    <row r="212" ht="15.75" customHeight="1">
      <c r="A212" s="95">
        <v>177.0</v>
      </c>
      <c r="B212" s="96" t="s">
        <v>527</v>
      </c>
      <c r="C212" s="96" t="s">
        <v>428</v>
      </c>
      <c r="D212" s="95" t="s">
        <v>446</v>
      </c>
      <c r="E212" s="95" t="s">
        <v>57</v>
      </c>
      <c r="F212" s="95"/>
      <c r="G212" s="95"/>
      <c r="H212" s="95"/>
      <c r="I212" s="95"/>
      <c r="J212" s="95"/>
      <c r="K212" s="95">
        <f t="shared" si="1"/>
        <v>0</v>
      </c>
      <c r="L212" s="95"/>
      <c r="M212" s="95"/>
      <c r="N212" s="95"/>
      <c r="O212" s="95">
        <f t="shared" si="2"/>
        <v>0</v>
      </c>
      <c r="P212" s="95"/>
      <c r="Q212" s="95"/>
      <c r="R212" s="95"/>
      <c r="S212" s="95"/>
    </row>
    <row r="213" ht="15.75" customHeight="1">
      <c r="A213" s="95">
        <v>178.0</v>
      </c>
      <c r="B213" s="96" t="s">
        <v>528</v>
      </c>
      <c r="C213" s="96" t="s">
        <v>428</v>
      </c>
      <c r="D213" s="95" t="s">
        <v>446</v>
      </c>
      <c r="E213" s="95" t="s">
        <v>57</v>
      </c>
      <c r="F213" s="95"/>
      <c r="G213" s="95"/>
      <c r="H213" s="95"/>
      <c r="I213" s="95"/>
      <c r="J213" s="95"/>
      <c r="K213" s="95">
        <f t="shared" si="1"/>
        <v>0</v>
      </c>
      <c r="L213" s="95"/>
      <c r="M213" s="95"/>
      <c r="N213" s="95"/>
      <c r="O213" s="95">
        <f t="shared" si="2"/>
        <v>0</v>
      </c>
      <c r="P213" s="95"/>
      <c r="Q213" s="95"/>
      <c r="R213" s="95"/>
      <c r="S213" s="95"/>
    </row>
    <row r="214" ht="15.75" customHeight="1">
      <c r="A214" s="95">
        <v>179.0</v>
      </c>
      <c r="B214" s="96" t="s">
        <v>529</v>
      </c>
      <c r="C214" s="96" t="s">
        <v>428</v>
      </c>
      <c r="D214" s="95" t="s">
        <v>446</v>
      </c>
      <c r="E214" s="95" t="s">
        <v>57</v>
      </c>
      <c r="F214" s="95"/>
      <c r="G214" s="95"/>
      <c r="H214" s="95"/>
      <c r="I214" s="95"/>
      <c r="J214" s="95"/>
      <c r="K214" s="95">
        <f t="shared" si="1"/>
        <v>0</v>
      </c>
      <c r="L214" s="95"/>
      <c r="M214" s="95"/>
      <c r="N214" s="95"/>
      <c r="O214" s="95">
        <f t="shared" si="2"/>
        <v>0</v>
      </c>
      <c r="P214" s="95"/>
      <c r="Q214" s="95"/>
      <c r="R214" s="95"/>
      <c r="S214" s="95"/>
    </row>
    <row r="215" ht="15.75" customHeight="1">
      <c r="A215" s="95">
        <v>180.0</v>
      </c>
      <c r="B215" s="96" t="s">
        <v>530</v>
      </c>
      <c r="C215" s="96" t="s">
        <v>428</v>
      </c>
      <c r="D215" s="95" t="s">
        <v>446</v>
      </c>
      <c r="E215" s="95" t="s">
        <v>57</v>
      </c>
      <c r="F215" s="95"/>
      <c r="G215" s="95"/>
      <c r="H215" s="95"/>
      <c r="I215" s="95"/>
      <c r="J215" s="95"/>
      <c r="K215" s="95">
        <f t="shared" si="1"/>
        <v>0</v>
      </c>
      <c r="L215" s="95"/>
      <c r="M215" s="95"/>
      <c r="N215" s="95"/>
      <c r="O215" s="95">
        <f t="shared" si="2"/>
        <v>0</v>
      </c>
      <c r="P215" s="95"/>
      <c r="Q215" s="95"/>
      <c r="R215" s="95"/>
      <c r="S215" s="95"/>
    </row>
    <row r="216" ht="24.75" customHeight="1">
      <c r="A216" s="97" t="s">
        <v>531</v>
      </c>
      <c r="B216" s="2"/>
      <c r="C216" s="2"/>
      <c r="D216" s="2"/>
      <c r="E216" s="3"/>
      <c r="F216" s="98">
        <f t="shared" ref="F216:N216" si="3">SUM(F5:F215)</f>
        <v>3</v>
      </c>
      <c r="G216" s="98">
        <f t="shared" si="3"/>
        <v>3</v>
      </c>
      <c r="H216" s="98">
        <f t="shared" si="3"/>
        <v>23</v>
      </c>
      <c r="I216" s="98">
        <f t="shared" si="3"/>
        <v>2333</v>
      </c>
      <c r="J216" s="98">
        <f t="shared" si="3"/>
        <v>0</v>
      </c>
      <c r="K216" s="98">
        <f t="shared" si="3"/>
        <v>2333</v>
      </c>
      <c r="L216" s="98">
        <f t="shared" si="3"/>
        <v>108</v>
      </c>
      <c r="M216" s="98">
        <f t="shared" si="3"/>
        <v>75</v>
      </c>
      <c r="N216" s="98">
        <f t="shared" si="3"/>
        <v>15</v>
      </c>
      <c r="P216" s="98">
        <f t="shared" ref="P216:R216" si="4">SUM(P5:P215)</f>
        <v>0</v>
      </c>
      <c r="Q216" s="98">
        <f t="shared" si="4"/>
        <v>0</v>
      </c>
      <c r="R216" s="98">
        <f t="shared" si="4"/>
        <v>0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3">
    <mergeCell ref="A1:S1"/>
    <mergeCell ref="A2:S2"/>
    <mergeCell ref="A216:E21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16.0"/>
    <col customWidth="1" min="4" max="4" width="12.0"/>
    <col customWidth="1" min="5" max="5" width="20.0"/>
    <col customWidth="1" min="6" max="6" width="12.0"/>
    <col customWidth="1" min="7" max="7" width="14.0"/>
    <col customWidth="1" min="8" max="8" width="13.0"/>
    <col customWidth="1" min="9" max="10" width="12.0"/>
    <col customWidth="1" min="11" max="12" width="14.0"/>
    <col customWidth="1" min="13" max="13" width="10.0"/>
    <col customWidth="1" min="14" max="14" width="22.0"/>
    <col customWidth="1" min="15" max="26" width="8.71"/>
  </cols>
  <sheetData>
    <row r="1" ht="39.75" customHeight="1">
      <c r="A1" s="25" t="s">
        <v>532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26" t="s">
        <v>533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A3" s="6" t="s">
        <v>36</v>
      </c>
      <c r="B3" s="6" t="s">
        <v>534</v>
      </c>
      <c r="C3" s="6" t="s">
        <v>535</v>
      </c>
      <c r="D3" s="6" t="s">
        <v>536</v>
      </c>
      <c r="E3" s="6" t="s">
        <v>537</v>
      </c>
      <c r="F3" s="6" t="s">
        <v>11</v>
      </c>
      <c r="G3" s="6" t="s">
        <v>538</v>
      </c>
      <c r="H3" s="6" t="s">
        <v>539</v>
      </c>
      <c r="I3" s="6" t="s">
        <v>540</v>
      </c>
      <c r="J3" s="6" t="s">
        <v>541</v>
      </c>
      <c r="K3" s="6" t="s">
        <v>542</v>
      </c>
      <c r="L3" s="6" t="s">
        <v>543</v>
      </c>
      <c r="M3" s="6" t="s">
        <v>544</v>
      </c>
      <c r="N3" s="6" t="s">
        <v>51</v>
      </c>
    </row>
    <row r="4" ht="18.0" customHeight="1">
      <c r="A4" s="93">
        <v>1.0</v>
      </c>
      <c r="B4" s="93"/>
      <c r="C4" s="93"/>
      <c r="D4" s="93"/>
      <c r="E4" s="93"/>
      <c r="F4" s="93"/>
      <c r="G4" s="93"/>
      <c r="H4" s="93" t="s">
        <v>545</v>
      </c>
      <c r="I4" s="93" t="s">
        <v>81</v>
      </c>
      <c r="J4" s="93"/>
      <c r="K4" s="93"/>
      <c r="L4" s="93"/>
      <c r="M4" s="93" t="s">
        <v>61</v>
      </c>
      <c r="N4" s="93"/>
    </row>
    <row r="5" ht="18.0" customHeight="1">
      <c r="A5" s="99">
        <v>2.0</v>
      </c>
      <c r="B5" s="99"/>
      <c r="C5" s="99"/>
      <c r="D5" s="99"/>
      <c r="E5" s="99"/>
      <c r="F5" s="99"/>
      <c r="G5" s="99"/>
      <c r="H5" s="99" t="s">
        <v>545</v>
      </c>
      <c r="I5" s="99" t="s">
        <v>81</v>
      </c>
      <c r="J5" s="99"/>
      <c r="K5" s="99"/>
      <c r="L5" s="99"/>
      <c r="M5" s="99" t="s">
        <v>61</v>
      </c>
      <c r="N5" s="99"/>
    </row>
    <row r="6" ht="18.0" customHeight="1">
      <c r="A6" s="93">
        <v>3.0</v>
      </c>
      <c r="B6" s="93"/>
      <c r="C6" s="93"/>
      <c r="D6" s="93"/>
      <c r="E6" s="93"/>
      <c r="F6" s="93"/>
      <c r="G6" s="93"/>
      <c r="H6" s="93" t="s">
        <v>545</v>
      </c>
      <c r="I6" s="93" t="s">
        <v>81</v>
      </c>
      <c r="J6" s="93"/>
      <c r="K6" s="93"/>
      <c r="L6" s="93"/>
      <c r="M6" s="93" t="s">
        <v>61</v>
      </c>
      <c r="N6" s="93"/>
    </row>
    <row r="7" ht="18.0" customHeight="1">
      <c r="A7" s="99">
        <v>4.0</v>
      </c>
      <c r="B7" s="99"/>
      <c r="C7" s="99"/>
      <c r="D7" s="99"/>
      <c r="E7" s="99"/>
      <c r="F7" s="99"/>
      <c r="G7" s="99"/>
      <c r="H7" s="99" t="s">
        <v>545</v>
      </c>
      <c r="I7" s="99" t="s">
        <v>81</v>
      </c>
      <c r="J7" s="99"/>
      <c r="K7" s="99"/>
      <c r="L7" s="99"/>
      <c r="M7" s="99" t="s">
        <v>61</v>
      </c>
      <c r="N7" s="99"/>
    </row>
    <row r="8" ht="18.0" customHeight="1">
      <c r="A8" s="93">
        <v>5.0</v>
      </c>
      <c r="B8" s="93"/>
      <c r="C8" s="93"/>
      <c r="D8" s="93"/>
      <c r="E8" s="93"/>
      <c r="F8" s="93"/>
      <c r="G8" s="93"/>
      <c r="H8" s="93" t="s">
        <v>545</v>
      </c>
      <c r="I8" s="93" t="s">
        <v>81</v>
      </c>
      <c r="J8" s="93"/>
      <c r="K8" s="93"/>
      <c r="L8" s="93"/>
      <c r="M8" s="93" t="s">
        <v>61</v>
      </c>
      <c r="N8" s="93"/>
    </row>
    <row r="9" ht="18.0" customHeight="1">
      <c r="A9" s="99">
        <v>6.0</v>
      </c>
      <c r="B9" s="99"/>
      <c r="C9" s="99"/>
      <c r="D9" s="99"/>
      <c r="E9" s="99"/>
      <c r="F9" s="99"/>
      <c r="G9" s="99"/>
      <c r="H9" s="99" t="s">
        <v>545</v>
      </c>
      <c r="I9" s="99" t="s">
        <v>81</v>
      </c>
      <c r="J9" s="99"/>
      <c r="K9" s="99"/>
      <c r="L9" s="99"/>
      <c r="M9" s="99" t="s">
        <v>61</v>
      </c>
      <c r="N9" s="99"/>
    </row>
    <row r="10" ht="18.0" customHeight="1">
      <c r="A10" s="93">
        <v>7.0</v>
      </c>
      <c r="B10" s="93"/>
      <c r="C10" s="93"/>
      <c r="D10" s="93"/>
      <c r="E10" s="93"/>
      <c r="F10" s="93"/>
      <c r="G10" s="93"/>
      <c r="H10" s="93" t="s">
        <v>545</v>
      </c>
      <c r="I10" s="93" t="s">
        <v>81</v>
      </c>
      <c r="J10" s="93"/>
      <c r="K10" s="93"/>
      <c r="L10" s="93"/>
      <c r="M10" s="93" t="s">
        <v>61</v>
      </c>
      <c r="N10" s="93"/>
    </row>
    <row r="11" ht="18.0" customHeight="1">
      <c r="A11" s="99">
        <v>8.0</v>
      </c>
      <c r="B11" s="99"/>
      <c r="C11" s="99"/>
      <c r="D11" s="99"/>
      <c r="E11" s="99"/>
      <c r="F11" s="99"/>
      <c r="G11" s="99"/>
      <c r="H11" s="99" t="s">
        <v>545</v>
      </c>
      <c r="I11" s="99" t="s">
        <v>81</v>
      </c>
      <c r="J11" s="99"/>
      <c r="K11" s="99"/>
      <c r="L11" s="99"/>
      <c r="M11" s="99" t="s">
        <v>61</v>
      </c>
      <c r="N11" s="99"/>
    </row>
    <row r="12" ht="18.0" customHeight="1">
      <c r="A12" s="93">
        <v>9.0</v>
      </c>
      <c r="B12" s="93"/>
      <c r="C12" s="93"/>
      <c r="D12" s="93"/>
      <c r="E12" s="93"/>
      <c r="F12" s="93"/>
      <c r="G12" s="93"/>
      <c r="H12" s="93" t="s">
        <v>545</v>
      </c>
      <c r="I12" s="93" t="s">
        <v>81</v>
      </c>
      <c r="J12" s="93"/>
      <c r="K12" s="93"/>
      <c r="L12" s="93"/>
      <c r="M12" s="93" t="s">
        <v>61</v>
      </c>
      <c r="N12" s="93"/>
    </row>
    <row r="13" ht="18.0" customHeight="1">
      <c r="A13" s="99">
        <v>10.0</v>
      </c>
      <c r="B13" s="99"/>
      <c r="C13" s="99"/>
      <c r="D13" s="99"/>
      <c r="E13" s="99"/>
      <c r="F13" s="99"/>
      <c r="G13" s="99"/>
      <c r="H13" s="99" t="s">
        <v>545</v>
      </c>
      <c r="I13" s="99" t="s">
        <v>81</v>
      </c>
      <c r="J13" s="99"/>
      <c r="K13" s="99"/>
      <c r="L13" s="99"/>
      <c r="M13" s="99" t="s">
        <v>61</v>
      </c>
      <c r="N13" s="99"/>
    </row>
    <row r="14" ht="18.0" customHeight="1">
      <c r="A14" s="93">
        <v>11.0</v>
      </c>
      <c r="B14" s="93"/>
      <c r="C14" s="93"/>
      <c r="D14" s="93"/>
      <c r="E14" s="93"/>
      <c r="F14" s="93"/>
      <c r="G14" s="93"/>
      <c r="H14" s="93" t="s">
        <v>545</v>
      </c>
      <c r="I14" s="93" t="s">
        <v>81</v>
      </c>
      <c r="J14" s="93"/>
      <c r="K14" s="93"/>
      <c r="L14" s="93"/>
      <c r="M14" s="93" t="s">
        <v>61</v>
      </c>
      <c r="N14" s="93"/>
    </row>
    <row r="15" ht="18.0" customHeight="1">
      <c r="A15" s="99">
        <v>12.0</v>
      </c>
      <c r="B15" s="99"/>
      <c r="C15" s="99"/>
      <c r="D15" s="99"/>
      <c r="E15" s="99"/>
      <c r="F15" s="99"/>
      <c r="G15" s="99"/>
      <c r="H15" s="99" t="s">
        <v>545</v>
      </c>
      <c r="I15" s="99" t="s">
        <v>81</v>
      </c>
      <c r="J15" s="99"/>
      <c r="K15" s="99"/>
      <c r="L15" s="99"/>
      <c r="M15" s="99" t="s">
        <v>61</v>
      </c>
      <c r="N15" s="99"/>
    </row>
    <row r="16" ht="18.0" customHeight="1">
      <c r="A16" s="93">
        <v>13.0</v>
      </c>
      <c r="B16" s="93"/>
      <c r="C16" s="93"/>
      <c r="D16" s="93"/>
      <c r="E16" s="93"/>
      <c r="F16" s="93"/>
      <c r="G16" s="93"/>
      <c r="H16" s="93" t="s">
        <v>545</v>
      </c>
      <c r="I16" s="93" t="s">
        <v>81</v>
      </c>
      <c r="J16" s="93"/>
      <c r="K16" s="93"/>
      <c r="L16" s="93"/>
      <c r="M16" s="93" t="s">
        <v>61</v>
      </c>
      <c r="N16" s="93"/>
    </row>
    <row r="17" ht="18.0" customHeight="1">
      <c r="A17" s="99">
        <v>14.0</v>
      </c>
      <c r="B17" s="99"/>
      <c r="C17" s="99"/>
      <c r="D17" s="99"/>
      <c r="E17" s="99"/>
      <c r="F17" s="99"/>
      <c r="G17" s="99"/>
      <c r="H17" s="99" t="s">
        <v>545</v>
      </c>
      <c r="I17" s="99" t="s">
        <v>81</v>
      </c>
      <c r="J17" s="99"/>
      <c r="K17" s="99"/>
      <c r="L17" s="99"/>
      <c r="M17" s="99" t="s">
        <v>61</v>
      </c>
      <c r="N17" s="99"/>
    </row>
    <row r="18" ht="18.0" customHeight="1">
      <c r="A18" s="93">
        <v>15.0</v>
      </c>
      <c r="B18" s="93"/>
      <c r="C18" s="93"/>
      <c r="D18" s="93"/>
      <c r="E18" s="93"/>
      <c r="F18" s="93"/>
      <c r="G18" s="93"/>
      <c r="H18" s="93" t="s">
        <v>545</v>
      </c>
      <c r="I18" s="93" t="s">
        <v>81</v>
      </c>
      <c r="J18" s="93"/>
      <c r="K18" s="93"/>
      <c r="L18" s="93"/>
      <c r="M18" s="93" t="s">
        <v>61</v>
      </c>
      <c r="N18" s="93"/>
    </row>
    <row r="19" ht="18.0" customHeight="1">
      <c r="A19" s="99">
        <v>16.0</v>
      </c>
      <c r="B19" s="99"/>
      <c r="C19" s="99"/>
      <c r="D19" s="99"/>
      <c r="E19" s="99"/>
      <c r="F19" s="99"/>
      <c r="G19" s="99"/>
      <c r="H19" s="99" t="s">
        <v>545</v>
      </c>
      <c r="I19" s="99" t="s">
        <v>81</v>
      </c>
      <c r="J19" s="99"/>
      <c r="K19" s="99"/>
      <c r="L19" s="99"/>
      <c r="M19" s="99" t="s">
        <v>61</v>
      </c>
      <c r="N19" s="99"/>
    </row>
    <row r="20" ht="18.0" customHeight="1">
      <c r="A20" s="93">
        <v>17.0</v>
      </c>
      <c r="B20" s="93"/>
      <c r="C20" s="93"/>
      <c r="D20" s="93"/>
      <c r="E20" s="93"/>
      <c r="F20" s="93"/>
      <c r="G20" s="93"/>
      <c r="H20" s="93" t="s">
        <v>545</v>
      </c>
      <c r="I20" s="93" t="s">
        <v>81</v>
      </c>
      <c r="J20" s="93"/>
      <c r="K20" s="93"/>
      <c r="L20" s="93"/>
      <c r="M20" s="93" t="s">
        <v>61</v>
      </c>
      <c r="N20" s="93"/>
    </row>
    <row r="21" ht="18.0" customHeight="1">
      <c r="A21" s="99">
        <v>18.0</v>
      </c>
      <c r="B21" s="99"/>
      <c r="C21" s="99"/>
      <c r="D21" s="99"/>
      <c r="E21" s="99"/>
      <c r="F21" s="99"/>
      <c r="G21" s="99"/>
      <c r="H21" s="99" t="s">
        <v>545</v>
      </c>
      <c r="I21" s="99" t="s">
        <v>81</v>
      </c>
      <c r="J21" s="99"/>
      <c r="K21" s="99"/>
      <c r="L21" s="99"/>
      <c r="M21" s="99" t="s">
        <v>61</v>
      </c>
      <c r="N21" s="99"/>
    </row>
    <row r="22" ht="18.0" customHeight="1">
      <c r="A22" s="93">
        <v>19.0</v>
      </c>
      <c r="B22" s="93"/>
      <c r="C22" s="93"/>
      <c r="D22" s="93"/>
      <c r="E22" s="93"/>
      <c r="F22" s="93"/>
      <c r="G22" s="93"/>
      <c r="H22" s="93" t="s">
        <v>545</v>
      </c>
      <c r="I22" s="93" t="s">
        <v>81</v>
      </c>
      <c r="J22" s="93"/>
      <c r="K22" s="93"/>
      <c r="L22" s="93"/>
      <c r="M22" s="93" t="s">
        <v>61</v>
      </c>
      <c r="N22" s="93"/>
    </row>
    <row r="23" ht="18.0" customHeight="1">
      <c r="A23" s="99">
        <v>20.0</v>
      </c>
      <c r="B23" s="99"/>
      <c r="C23" s="99"/>
      <c r="D23" s="99"/>
      <c r="E23" s="99"/>
      <c r="F23" s="99"/>
      <c r="G23" s="99"/>
      <c r="H23" s="99" t="s">
        <v>545</v>
      </c>
      <c r="I23" s="99" t="s">
        <v>81</v>
      </c>
      <c r="J23" s="99"/>
      <c r="K23" s="99"/>
      <c r="L23" s="99"/>
      <c r="M23" s="99" t="s">
        <v>61</v>
      </c>
      <c r="N23" s="99"/>
    </row>
    <row r="24" ht="18.0" customHeight="1">
      <c r="A24" s="93">
        <v>21.0</v>
      </c>
      <c r="B24" s="93"/>
      <c r="C24" s="93"/>
      <c r="D24" s="93"/>
      <c r="E24" s="93"/>
      <c r="F24" s="93"/>
      <c r="G24" s="93"/>
      <c r="H24" s="93" t="s">
        <v>545</v>
      </c>
      <c r="I24" s="93" t="s">
        <v>81</v>
      </c>
      <c r="J24" s="93"/>
      <c r="K24" s="93"/>
      <c r="L24" s="93"/>
      <c r="M24" s="93" t="s">
        <v>61</v>
      </c>
      <c r="N24" s="93"/>
    </row>
    <row r="25" ht="18.0" customHeight="1">
      <c r="A25" s="99">
        <v>22.0</v>
      </c>
      <c r="B25" s="99"/>
      <c r="C25" s="99"/>
      <c r="D25" s="99"/>
      <c r="E25" s="99"/>
      <c r="F25" s="99"/>
      <c r="G25" s="99"/>
      <c r="H25" s="99" t="s">
        <v>545</v>
      </c>
      <c r="I25" s="99" t="s">
        <v>81</v>
      </c>
      <c r="J25" s="99"/>
      <c r="K25" s="99"/>
      <c r="L25" s="99"/>
      <c r="M25" s="99" t="s">
        <v>61</v>
      </c>
      <c r="N25" s="99"/>
    </row>
    <row r="26" ht="18.0" customHeight="1">
      <c r="A26" s="93">
        <v>23.0</v>
      </c>
      <c r="B26" s="93"/>
      <c r="C26" s="93"/>
      <c r="D26" s="93"/>
      <c r="E26" s="93"/>
      <c r="F26" s="93"/>
      <c r="G26" s="93"/>
      <c r="H26" s="93" t="s">
        <v>545</v>
      </c>
      <c r="I26" s="93" t="s">
        <v>81</v>
      </c>
      <c r="J26" s="93"/>
      <c r="K26" s="93"/>
      <c r="L26" s="93"/>
      <c r="M26" s="93" t="s">
        <v>61</v>
      </c>
      <c r="N26" s="93"/>
    </row>
    <row r="27" ht="18.0" customHeight="1">
      <c r="A27" s="99">
        <v>24.0</v>
      </c>
      <c r="B27" s="99"/>
      <c r="C27" s="99"/>
      <c r="D27" s="99"/>
      <c r="E27" s="99"/>
      <c r="F27" s="99"/>
      <c r="G27" s="99"/>
      <c r="H27" s="99" t="s">
        <v>545</v>
      </c>
      <c r="I27" s="99" t="s">
        <v>81</v>
      </c>
      <c r="J27" s="99"/>
      <c r="K27" s="99"/>
      <c r="L27" s="99"/>
      <c r="M27" s="99" t="s">
        <v>61</v>
      </c>
      <c r="N27" s="99"/>
    </row>
    <row r="28" ht="18.0" customHeight="1">
      <c r="A28" s="93">
        <v>25.0</v>
      </c>
      <c r="B28" s="93"/>
      <c r="C28" s="93"/>
      <c r="D28" s="93"/>
      <c r="E28" s="93"/>
      <c r="F28" s="93"/>
      <c r="G28" s="93"/>
      <c r="H28" s="93" t="s">
        <v>545</v>
      </c>
      <c r="I28" s="93" t="s">
        <v>81</v>
      </c>
      <c r="J28" s="93"/>
      <c r="K28" s="93"/>
      <c r="L28" s="93"/>
      <c r="M28" s="93" t="s">
        <v>61</v>
      </c>
      <c r="N28" s="93"/>
    </row>
    <row r="29" ht="18.0" customHeight="1">
      <c r="A29" s="99">
        <v>26.0</v>
      </c>
      <c r="B29" s="99"/>
      <c r="C29" s="99"/>
      <c r="D29" s="99"/>
      <c r="E29" s="99"/>
      <c r="F29" s="99"/>
      <c r="G29" s="99"/>
      <c r="H29" s="99" t="s">
        <v>545</v>
      </c>
      <c r="I29" s="99" t="s">
        <v>81</v>
      </c>
      <c r="J29" s="99"/>
      <c r="K29" s="99"/>
      <c r="L29" s="99"/>
      <c r="M29" s="99" t="s">
        <v>61</v>
      </c>
      <c r="N29" s="99"/>
    </row>
    <row r="30" ht="18.0" customHeight="1">
      <c r="A30" s="93">
        <v>27.0</v>
      </c>
      <c r="B30" s="93"/>
      <c r="C30" s="93"/>
      <c r="D30" s="93"/>
      <c r="E30" s="93"/>
      <c r="F30" s="93"/>
      <c r="G30" s="93"/>
      <c r="H30" s="93" t="s">
        <v>545</v>
      </c>
      <c r="I30" s="93" t="s">
        <v>81</v>
      </c>
      <c r="J30" s="93"/>
      <c r="K30" s="93"/>
      <c r="L30" s="93"/>
      <c r="M30" s="93" t="s">
        <v>61</v>
      </c>
      <c r="N30" s="93"/>
    </row>
    <row r="31" ht="18.0" customHeight="1">
      <c r="A31" s="99">
        <v>28.0</v>
      </c>
      <c r="B31" s="99"/>
      <c r="C31" s="99"/>
      <c r="D31" s="99"/>
      <c r="E31" s="99"/>
      <c r="F31" s="99"/>
      <c r="G31" s="99"/>
      <c r="H31" s="99" t="s">
        <v>545</v>
      </c>
      <c r="I31" s="99" t="s">
        <v>81</v>
      </c>
      <c r="J31" s="99"/>
      <c r="K31" s="99"/>
      <c r="L31" s="99"/>
      <c r="M31" s="99" t="s">
        <v>61</v>
      </c>
      <c r="N31" s="99"/>
    </row>
    <row r="32" ht="18.0" customHeight="1">
      <c r="A32" s="93">
        <v>29.0</v>
      </c>
      <c r="B32" s="93"/>
      <c r="C32" s="93"/>
      <c r="D32" s="93"/>
      <c r="E32" s="93"/>
      <c r="F32" s="93"/>
      <c r="G32" s="93"/>
      <c r="H32" s="93" t="s">
        <v>545</v>
      </c>
      <c r="I32" s="93" t="s">
        <v>81</v>
      </c>
      <c r="J32" s="93"/>
      <c r="K32" s="93"/>
      <c r="L32" s="93"/>
      <c r="M32" s="93" t="s">
        <v>61</v>
      </c>
      <c r="N32" s="93"/>
    </row>
    <row r="33" ht="18.0" customHeight="1">
      <c r="A33" s="99">
        <v>30.0</v>
      </c>
      <c r="B33" s="99"/>
      <c r="C33" s="99"/>
      <c r="D33" s="99"/>
      <c r="E33" s="99"/>
      <c r="F33" s="99"/>
      <c r="G33" s="99"/>
      <c r="H33" s="99" t="s">
        <v>545</v>
      </c>
      <c r="I33" s="99" t="s">
        <v>81</v>
      </c>
      <c r="J33" s="99"/>
      <c r="K33" s="99"/>
      <c r="L33" s="99"/>
      <c r="M33" s="99" t="s">
        <v>61</v>
      </c>
      <c r="N33" s="99"/>
    </row>
    <row r="34" ht="18.0" customHeight="1">
      <c r="A34" s="93">
        <v>31.0</v>
      </c>
      <c r="B34" s="93"/>
      <c r="C34" s="93"/>
      <c r="D34" s="93"/>
      <c r="E34" s="93"/>
      <c r="F34" s="93"/>
      <c r="G34" s="93"/>
      <c r="H34" s="93" t="s">
        <v>545</v>
      </c>
      <c r="I34" s="93" t="s">
        <v>81</v>
      </c>
      <c r="J34" s="93"/>
      <c r="K34" s="93"/>
      <c r="L34" s="93"/>
      <c r="M34" s="93" t="s">
        <v>61</v>
      </c>
      <c r="N34" s="93"/>
    </row>
    <row r="35" ht="18.0" customHeight="1">
      <c r="A35" s="99">
        <v>32.0</v>
      </c>
      <c r="B35" s="99"/>
      <c r="C35" s="99"/>
      <c r="D35" s="99"/>
      <c r="E35" s="99"/>
      <c r="F35" s="99"/>
      <c r="G35" s="99"/>
      <c r="H35" s="99" t="s">
        <v>545</v>
      </c>
      <c r="I35" s="99" t="s">
        <v>81</v>
      </c>
      <c r="J35" s="99"/>
      <c r="K35" s="99"/>
      <c r="L35" s="99"/>
      <c r="M35" s="99" t="s">
        <v>61</v>
      </c>
      <c r="N35" s="99"/>
    </row>
    <row r="36" ht="18.0" customHeight="1">
      <c r="A36" s="93">
        <v>33.0</v>
      </c>
      <c r="B36" s="93"/>
      <c r="C36" s="93"/>
      <c r="D36" s="93"/>
      <c r="E36" s="93"/>
      <c r="F36" s="93"/>
      <c r="G36" s="93"/>
      <c r="H36" s="93" t="s">
        <v>545</v>
      </c>
      <c r="I36" s="93" t="s">
        <v>81</v>
      </c>
      <c r="J36" s="93"/>
      <c r="K36" s="93"/>
      <c r="L36" s="93"/>
      <c r="M36" s="93" t="s">
        <v>61</v>
      </c>
      <c r="N36" s="93"/>
    </row>
    <row r="37" ht="18.0" customHeight="1">
      <c r="A37" s="99">
        <v>34.0</v>
      </c>
      <c r="B37" s="99"/>
      <c r="C37" s="99"/>
      <c r="D37" s="99"/>
      <c r="E37" s="99"/>
      <c r="F37" s="99"/>
      <c r="G37" s="99"/>
      <c r="H37" s="99" t="s">
        <v>545</v>
      </c>
      <c r="I37" s="99" t="s">
        <v>81</v>
      </c>
      <c r="J37" s="99"/>
      <c r="K37" s="99"/>
      <c r="L37" s="99"/>
      <c r="M37" s="99" t="s">
        <v>61</v>
      </c>
      <c r="N37" s="99"/>
    </row>
    <row r="38" ht="18.0" customHeight="1">
      <c r="A38" s="93">
        <v>35.0</v>
      </c>
      <c r="B38" s="93"/>
      <c r="C38" s="93"/>
      <c r="D38" s="93"/>
      <c r="E38" s="93"/>
      <c r="F38" s="93"/>
      <c r="G38" s="93"/>
      <c r="H38" s="93" t="s">
        <v>545</v>
      </c>
      <c r="I38" s="93" t="s">
        <v>81</v>
      </c>
      <c r="J38" s="93"/>
      <c r="K38" s="93"/>
      <c r="L38" s="93"/>
      <c r="M38" s="93" t="s">
        <v>61</v>
      </c>
      <c r="N38" s="93"/>
    </row>
    <row r="39" ht="18.0" customHeight="1">
      <c r="A39" s="99">
        <v>36.0</v>
      </c>
      <c r="B39" s="99"/>
      <c r="C39" s="99"/>
      <c r="D39" s="99"/>
      <c r="E39" s="99"/>
      <c r="F39" s="99"/>
      <c r="G39" s="99"/>
      <c r="H39" s="99" t="s">
        <v>545</v>
      </c>
      <c r="I39" s="99" t="s">
        <v>81</v>
      </c>
      <c r="J39" s="99"/>
      <c r="K39" s="99"/>
      <c r="L39" s="99"/>
      <c r="M39" s="99" t="s">
        <v>61</v>
      </c>
      <c r="N39" s="99"/>
    </row>
    <row r="40" ht="18.0" customHeight="1">
      <c r="A40" s="93">
        <v>37.0</v>
      </c>
      <c r="B40" s="93"/>
      <c r="C40" s="93"/>
      <c r="D40" s="93"/>
      <c r="E40" s="93"/>
      <c r="F40" s="93"/>
      <c r="G40" s="93"/>
      <c r="H40" s="93" t="s">
        <v>545</v>
      </c>
      <c r="I40" s="93" t="s">
        <v>81</v>
      </c>
      <c r="J40" s="93"/>
      <c r="K40" s="93"/>
      <c r="L40" s="93"/>
      <c r="M40" s="93" t="s">
        <v>61</v>
      </c>
      <c r="N40" s="93"/>
    </row>
    <row r="41" ht="18.0" customHeight="1">
      <c r="A41" s="99">
        <v>38.0</v>
      </c>
      <c r="B41" s="99"/>
      <c r="C41" s="99"/>
      <c r="D41" s="99"/>
      <c r="E41" s="99"/>
      <c r="F41" s="99"/>
      <c r="G41" s="99"/>
      <c r="H41" s="99" t="s">
        <v>545</v>
      </c>
      <c r="I41" s="99" t="s">
        <v>81</v>
      </c>
      <c r="J41" s="99"/>
      <c r="K41" s="99"/>
      <c r="L41" s="99"/>
      <c r="M41" s="99" t="s">
        <v>61</v>
      </c>
      <c r="N41" s="99"/>
    </row>
    <row r="42" ht="18.0" customHeight="1">
      <c r="A42" s="93">
        <v>39.0</v>
      </c>
      <c r="B42" s="93"/>
      <c r="C42" s="93"/>
      <c r="D42" s="93"/>
      <c r="E42" s="93"/>
      <c r="F42" s="93"/>
      <c r="G42" s="93"/>
      <c r="H42" s="93" t="s">
        <v>545</v>
      </c>
      <c r="I42" s="93" t="s">
        <v>81</v>
      </c>
      <c r="J42" s="93"/>
      <c r="K42" s="93"/>
      <c r="L42" s="93"/>
      <c r="M42" s="93" t="s">
        <v>61</v>
      </c>
      <c r="N42" s="93"/>
    </row>
    <row r="43" ht="18.0" customHeight="1">
      <c r="A43" s="99">
        <v>40.0</v>
      </c>
      <c r="B43" s="99"/>
      <c r="C43" s="99"/>
      <c r="D43" s="99"/>
      <c r="E43" s="99"/>
      <c r="F43" s="99"/>
      <c r="G43" s="99"/>
      <c r="H43" s="99" t="s">
        <v>545</v>
      </c>
      <c r="I43" s="99" t="s">
        <v>81</v>
      </c>
      <c r="J43" s="99"/>
      <c r="K43" s="99"/>
      <c r="L43" s="99"/>
      <c r="M43" s="99" t="s">
        <v>61</v>
      </c>
      <c r="N43" s="99"/>
    </row>
    <row r="44" ht="18.0" customHeight="1">
      <c r="A44" s="93">
        <v>41.0</v>
      </c>
      <c r="B44" s="93"/>
      <c r="C44" s="93"/>
      <c r="D44" s="93"/>
      <c r="E44" s="93"/>
      <c r="F44" s="93"/>
      <c r="G44" s="93"/>
      <c r="H44" s="93" t="s">
        <v>545</v>
      </c>
      <c r="I44" s="93" t="s">
        <v>81</v>
      </c>
      <c r="J44" s="93"/>
      <c r="K44" s="93"/>
      <c r="L44" s="93"/>
      <c r="M44" s="93" t="s">
        <v>61</v>
      </c>
      <c r="N44" s="93"/>
    </row>
    <row r="45" ht="18.0" customHeight="1">
      <c r="A45" s="99">
        <v>42.0</v>
      </c>
      <c r="B45" s="99"/>
      <c r="C45" s="99"/>
      <c r="D45" s="99"/>
      <c r="E45" s="99"/>
      <c r="F45" s="99"/>
      <c r="G45" s="99"/>
      <c r="H45" s="99" t="s">
        <v>545</v>
      </c>
      <c r="I45" s="99" t="s">
        <v>81</v>
      </c>
      <c r="J45" s="99"/>
      <c r="K45" s="99"/>
      <c r="L45" s="99"/>
      <c r="M45" s="99" t="s">
        <v>61</v>
      </c>
      <c r="N45" s="99"/>
    </row>
    <row r="46" ht="18.0" customHeight="1">
      <c r="A46" s="93">
        <v>43.0</v>
      </c>
      <c r="B46" s="93"/>
      <c r="C46" s="93"/>
      <c r="D46" s="93"/>
      <c r="E46" s="93"/>
      <c r="F46" s="93"/>
      <c r="G46" s="93"/>
      <c r="H46" s="93" t="s">
        <v>545</v>
      </c>
      <c r="I46" s="93" t="s">
        <v>81</v>
      </c>
      <c r="J46" s="93"/>
      <c r="K46" s="93"/>
      <c r="L46" s="93"/>
      <c r="M46" s="93" t="s">
        <v>61</v>
      </c>
      <c r="N46" s="93"/>
    </row>
    <row r="47" ht="18.0" customHeight="1">
      <c r="A47" s="99">
        <v>44.0</v>
      </c>
      <c r="B47" s="99"/>
      <c r="C47" s="99"/>
      <c r="D47" s="99"/>
      <c r="E47" s="99"/>
      <c r="F47" s="99"/>
      <c r="G47" s="99"/>
      <c r="H47" s="99" t="s">
        <v>545</v>
      </c>
      <c r="I47" s="99" t="s">
        <v>81</v>
      </c>
      <c r="J47" s="99"/>
      <c r="K47" s="99"/>
      <c r="L47" s="99"/>
      <c r="M47" s="99" t="s">
        <v>61</v>
      </c>
      <c r="N47" s="99"/>
    </row>
    <row r="48" ht="18.0" customHeight="1">
      <c r="A48" s="93">
        <v>45.0</v>
      </c>
      <c r="B48" s="93"/>
      <c r="C48" s="93"/>
      <c r="D48" s="93"/>
      <c r="E48" s="93"/>
      <c r="F48" s="93"/>
      <c r="G48" s="93"/>
      <c r="H48" s="93" t="s">
        <v>545</v>
      </c>
      <c r="I48" s="93" t="s">
        <v>81</v>
      </c>
      <c r="J48" s="93"/>
      <c r="K48" s="93"/>
      <c r="L48" s="93"/>
      <c r="M48" s="93" t="s">
        <v>61</v>
      </c>
      <c r="N48" s="93"/>
    </row>
    <row r="49" ht="18.0" customHeight="1">
      <c r="A49" s="99">
        <v>46.0</v>
      </c>
      <c r="B49" s="99"/>
      <c r="C49" s="99"/>
      <c r="D49" s="99"/>
      <c r="E49" s="99"/>
      <c r="F49" s="99"/>
      <c r="G49" s="99"/>
      <c r="H49" s="99" t="s">
        <v>545</v>
      </c>
      <c r="I49" s="99" t="s">
        <v>81</v>
      </c>
      <c r="J49" s="99"/>
      <c r="K49" s="99"/>
      <c r="L49" s="99"/>
      <c r="M49" s="99" t="s">
        <v>61</v>
      </c>
      <c r="N49" s="99"/>
    </row>
    <row r="50" ht="18.0" customHeight="1">
      <c r="A50" s="93">
        <v>47.0</v>
      </c>
      <c r="B50" s="93"/>
      <c r="C50" s="93"/>
      <c r="D50" s="93"/>
      <c r="E50" s="93"/>
      <c r="F50" s="93"/>
      <c r="G50" s="93"/>
      <c r="H50" s="93" t="s">
        <v>545</v>
      </c>
      <c r="I50" s="93" t="s">
        <v>81</v>
      </c>
      <c r="J50" s="93"/>
      <c r="K50" s="93"/>
      <c r="L50" s="93"/>
      <c r="M50" s="93" t="s">
        <v>61</v>
      </c>
      <c r="N50" s="93"/>
    </row>
    <row r="51" ht="18.0" customHeight="1">
      <c r="A51" s="99">
        <v>48.0</v>
      </c>
      <c r="B51" s="99"/>
      <c r="C51" s="99"/>
      <c r="D51" s="99"/>
      <c r="E51" s="99"/>
      <c r="F51" s="99"/>
      <c r="G51" s="99"/>
      <c r="H51" s="99" t="s">
        <v>545</v>
      </c>
      <c r="I51" s="99" t="s">
        <v>81</v>
      </c>
      <c r="J51" s="99"/>
      <c r="K51" s="99"/>
      <c r="L51" s="99"/>
      <c r="M51" s="99" t="s">
        <v>61</v>
      </c>
      <c r="N51" s="99"/>
    </row>
    <row r="52" ht="18.0" customHeight="1">
      <c r="A52" s="93">
        <v>49.0</v>
      </c>
      <c r="B52" s="93"/>
      <c r="C52" s="93"/>
      <c r="D52" s="93"/>
      <c r="E52" s="93"/>
      <c r="F52" s="93"/>
      <c r="G52" s="93"/>
      <c r="H52" s="93" t="s">
        <v>545</v>
      </c>
      <c r="I52" s="93" t="s">
        <v>81</v>
      </c>
      <c r="J52" s="93"/>
      <c r="K52" s="93"/>
      <c r="L52" s="93"/>
      <c r="M52" s="93" t="s">
        <v>61</v>
      </c>
      <c r="N52" s="93"/>
    </row>
    <row r="53" ht="18.0" customHeight="1">
      <c r="A53" s="99">
        <v>50.0</v>
      </c>
      <c r="B53" s="99"/>
      <c r="C53" s="99"/>
      <c r="D53" s="99"/>
      <c r="E53" s="99"/>
      <c r="F53" s="99"/>
      <c r="G53" s="99"/>
      <c r="H53" s="99" t="s">
        <v>545</v>
      </c>
      <c r="I53" s="99" t="s">
        <v>81</v>
      </c>
      <c r="J53" s="99"/>
      <c r="K53" s="99"/>
      <c r="L53" s="99"/>
      <c r="M53" s="99" t="s">
        <v>61</v>
      </c>
      <c r="N53" s="99"/>
    </row>
    <row r="54" ht="18.0" customHeight="1">
      <c r="A54" s="93">
        <v>51.0</v>
      </c>
      <c r="B54" s="93"/>
      <c r="C54" s="93"/>
      <c r="D54" s="93"/>
      <c r="E54" s="93"/>
      <c r="F54" s="93"/>
      <c r="G54" s="93"/>
      <c r="H54" s="93" t="s">
        <v>545</v>
      </c>
      <c r="I54" s="93" t="s">
        <v>81</v>
      </c>
      <c r="J54" s="93"/>
      <c r="K54" s="93"/>
      <c r="L54" s="93"/>
      <c r="M54" s="93" t="s">
        <v>61</v>
      </c>
      <c r="N54" s="93"/>
    </row>
    <row r="55" ht="18.0" customHeight="1">
      <c r="A55" s="99">
        <v>52.0</v>
      </c>
      <c r="B55" s="99"/>
      <c r="C55" s="99"/>
      <c r="D55" s="99"/>
      <c r="E55" s="99"/>
      <c r="F55" s="99"/>
      <c r="G55" s="99"/>
      <c r="H55" s="99" t="s">
        <v>545</v>
      </c>
      <c r="I55" s="99" t="s">
        <v>81</v>
      </c>
      <c r="J55" s="99"/>
      <c r="K55" s="99"/>
      <c r="L55" s="99"/>
      <c r="M55" s="99" t="s">
        <v>61</v>
      </c>
      <c r="N55" s="99"/>
    </row>
    <row r="56" ht="18.0" customHeight="1">
      <c r="A56" s="93">
        <v>53.0</v>
      </c>
      <c r="B56" s="93"/>
      <c r="C56" s="93"/>
      <c r="D56" s="93"/>
      <c r="E56" s="93"/>
      <c r="F56" s="93"/>
      <c r="G56" s="93"/>
      <c r="H56" s="93" t="s">
        <v>545</v>
      </c>
      <c r="I56" s="93" t="s">
        <v>81</v>
      </c>
      <c r="J56" s="93"/>
      <c r="K56" s="93"/>
      <c r="L56" s="93"/>
      <c r="M56" s="93" t="s">
        <v>61</v>
      </c>
      <c r="N56" s="93"/>
    </row>
    <row r="57" ht="18.0" customHeight="1">
      <c r="A57" s="99">
        <v>54.0</v>
      </c>
      <c r="B57" s="99"/>
      <c r="C57" s="99"/>
      <c r="D57" s="99"/>
      <c r="E57" s="99"/>
      <c r="F57" s="99"/>
      <c r="G57" s="99"/>
      <c r="H57" s="99" t="s">
        <v>545</v>
      </c>
      <c r="I57" s="99" t="s">
        <v>81</v>
      </c>
      <c r="J57" s="99"/>
      <c r="K57" s="99"/>
      <c r="L57" s="99"/>
      <c r="M57" s="99" t="s">
        <v>61</v>
      </c>
      <c r="N57" s="99"/>
    </row>
    <row r="58" ht="18.0" customHeight="1">
      <c r="A58" s="93">
        <v>55.0</v>
      </c>
      <c r="B58" s="93"/>
      <c r="C58" s="93"/>
      <c r="D58" s="93"/>
      <c r="E58" s="93"/>
      <c r="F58" s="93"/>
      <c r="G58" s="93"/>
      <c r="H58" s="93" t="s">
        <v>545</v>
      </c>
      <c r="I58" s="93" t="s">
        <v>81</v>
      </c>
      <c r="J58" s="93"/>
      <c r="K58" s="93"/>
      <c r="L58" s="93"/>
      <c r="M58" s="93" t="s">
        <v>61</v>
      </c>
      <c r="N58" s="93"/>
    </row>
    <row r="59" ht="18.0" customHeight="1">
      <c r="A59" s="99">
        <v>56.0</v>
      </c>
      <c r="B59" s="99"/>
      <c r="C59" s="99"/>
      <c r="D59" s="99"/>
      <c r="E59" s="99"/>
      <c r="F59" s="99"/>
      <c r="G59" s="99"/>
      <c r="H59" s="99" t="s">
        <v>545</v>
      </c>
      <c r="I59" s="99" t="s">
        <v>81</v>
      </c>
      <c r="J59" s="99"/>
      <c r="K59" s="99"/>
      <c r="L59" s="99"/>
      <c r="M59" s="99" t="s">
        <v>61</v>
      </c>
      <c r="N59" s="99"/>
    </row>
    <row r="60" ht="18.0" customHeight="1">
      <c r="A60" s="93">
        <v>57.0</v>
      </c>
      <c r="B60" s="93"/>
      <c r="C60" s="93"/>
      <c r="D60" s="93"/>
      <c r="E60" s="93"/>
      <c r="F60" s="93"/>
      <c r="G60" s="93"/>
      <c r="H60" s="93" t="s">
        <v>545</v>
      </c>
      <c r="I60" s="93" t="s">
        <v>81</v>
      </c>
      <c r="J60" s="93"/>
      <c r="K60" s="93"/>
      <c r="L60" s="93"/>
      <c r="M60" s="93" t="s">
        <v>61</v>
      </c>
      <c r="N60" s="93"/>
    </row>
    <row r="61" ht="18.0" customHeight="1">
      <c r="A61" s="99">
        <v>58.0</v>
      </c>
      <c r="B61" s="99"/>
      <c r="C61" s="99"/>
      <c r="D61" s="99"/>
      <c r="E61" s="99"/>
      <c r="F61" s="99"/>
      <c r="G61" s="99"/>
      <c r="H61" s="99" t="s">
        <v>545</v>
      </c>
      <c r="I61" s="99" t="s">
        <v>81</v>
      </c>
      <c r="J61" s="99"/>
      <c r="K61" s="99"/>
      <c r="L61" s="99"/>
      <c r="M61" s="99" t="s">
        <v>61</v>
      </c>
      <c r="N61" s="99"/>
    </row>
    <row r="62" ht="18.0" customHeight="1">
      <c r="A62" s="93">
        <v>59.0</v>
      </c>
      <c r="B62" s="93"/>
      <c r="C62" s="93"/>
      <c r="D62" s="93"/>
      <c r="E62" s="93"/>
      <c r="F62" s="93"/>
      <c r="G62" s="93"/>
      <c r="H62" s="93" t="s">
        <v>545</v>
      </c>
      <c r="I62" s="93" t="s">
        <v>81</v>
      </c>
      <c r="J62" s="93"/>
      <c r="K62" s="93"/>
      <c r="L62" s="93"/>
      <c r="M62" s="93" t="s">
        <v>61</v>
      </c>
      <c r="N62" s="93"/>
    </row>
    <row r="63" ht="18.0" customHeight="1">
      <c r="A63" s="99">
        <v>60.0</v>
      </c>
      <c r="B63" s="99"/>
      <c r="C63" s="99"/>
      <c r="D63" s="99"/>
      <c r="E63" s="99"/>
      <c r="F63" s="99"/>
      <c r="G63" s="99"/>
      <c r="H63" s="99" t="s">
        <v>545</v>
      </c>
      <c r="I63" s="99" t="s">
        <v>81</v>
      </c>
      <c r="J63" s="99"/>
      <c r="K63" s="99"/>
      <c r="L63" s="99"/>
      <c r="M63" s="99" t="s">
        <v>61</v>
      </c>
      <c r="N63" s="99"/>
    </row>
    <row r="64" ht="18.0" customHeight="1">
      <c r="A64" s="93">
        <v>61.0</v>
      </c>
      <c r="B64" s="93"/>
      <c r="C64" s="93"/>
      <c r="D64" s="93"/>
      <c r="E64" s="93"/>
      <c r="F64" s="93"/>
      <c r="G64" s="93"/>
      <c r="H64" s="93" t="s">
        <v>545</v>
      </c>
      <c r="I64" s="93" t="s">
        <v>81</v>
      </c>
      <c r="J64" s="93"/>
      <c r="K64" s="93"/>
      <c r="L64" s="93"/>
      <c r="M64" s="93" t="s">
        <v>61</v>
      </c>
      <c r="N64" s="93"/>
    </row>
    <row r="65" ht="18.0" customHeight="1">
      <c r="A65" s="99">
        <v>62.0</v>
      </c>
      <c r="B65" s="99"/>
      <c r="C65" s="99"/>
      <c r="D65" s="99"/>
      <c r="E65" s="99"/>
      <c r="F65" s="99"/>
      <c r="G65" s="99"/>
      <c r="H65" s="99" t="s">
        <v>545</v>
      </c>
      <c r="I65" s="99" t="s">
        <v>81</v>
      </c>
      <c r="J65" s="99"/>
      <c r="K65" s="99"/>
      <c r="L65" s="99"/>
      <c r="M65" s="99" t="s">
        <v>61</v>
      </c>
      <c r="N65" s="99"/>
    </row>
    <row r="66" ht="18.0" customHeight="1">
      <c r="A66" s="93">
        <v>63.0</v>
      </c>
      <c r="B66" s="93"/>
      <c r="C66" s="93"/>
      <c r="D66" s="93"/>
      <c r="E66" s="93"/>
      <c r="F66" s="93"/>
      <c r="G66" s="93"/>
      <c r="H66" s="93" t="s">
        <v>545</v>
      </c>
      <c r="I66" s="93" t="s">
        <v>81</v>
      </c>
      <c r="J66" s="93"/>
      <c r="K66" s="93"/>
      <c r="L66" s="93"/>
      <c r="M66" s="93" t="s">
        <v>61</v>
      </c>
      <c r="N66" s="93"/>
    </row>
    <row r="67" ht="18.0" customHeight="1">
      <c r="A67" s="99">
        <v>64.0</v>
      </c>
      <c r="B67" s="99"/>
      <c r="C67" s="99"/>
      <c r="D67" s="99"/>
      <c r="E67" s="99"/>
      <c r="F67" s="99"/>
      <c r="G67" s="99"/>
      <c r="H67" s="99" t="s">
        <v>545</v>
      </c>
      <c r="I67" s="99" t="s">
        <v>81</v>
      </c>
      <c r="J67" s="99"/>
      <c r="K67" s="99"/>
      <c r="L67" s="99"/>
      <c r="M67" s="99" t="s">
        <v>61</v>
      </c>
      <c r="N67" s="99"/>
    </row>
    <row r="68" ht="18.0" customHeight="1">
      <c r="A68" s="93">
        <v>65.0</v>
      </c>
      <c r="B68" s="93"/>
      <c r="C68" s="93"/>
      <c r="D68" s="93"/>
      <c r="E68" s="93"/>
      <c r="F68" s="93"/>
      <c r="G68" s="93"/>
      <c r="H68" s="93" t="s">
        <v>545</v>
      </c>
      <c r="I68" s="93" t="s">
        <v>81</v>
      </c>
      <c r="J68" s="93"/>
      <c r="K68" s="93"/>
      <c r="L68" s="93"/>
      <c r="M68" s="93" t="s">
        <v>61</v>
      </c>
      <c r="N68" s="93"/>
    </row>
    <row r="69" ht="18.0" customHeight="1">
      <c r="A69" s="99">
        <v>66.0</v>
      </c>
      <c r="B69" s="99"/>
      <c r="C69" s="99"/>
      <c r="D69" s="99"/>
      <c r="E69" s="99"/>
      <c r="F69" s="99"/>
      <c r="G69" s="99"/>
      <c r="H69" s="99" t="s">
        <v>545</v>
      </c>
      <c r="I69" s="99" t="s">
        <v>81</v>
      </c>
      <c r="J69" s="99"/>
      <c r="K69" s="99"/>
      <c r="L69" s="99"/>
      <c r="M69" s="99" t="s">
        <v>61</v>
      </c>
      <c r="N69" s="99"/>
    </row>
    <row r="70" ht="18.0" customHeight="1">
      <c r="A70" s="93">
        <v>67.0</v>
      </c>
      <c r="B70" s="93"/>
      <c r="C70" s="93"/>
      <c r="D70" s="93"/>
      <c r="E70" s="93"/>
      <c r="F70" s="93"/>
      <c r="G70" s="93"/>
      <c r="H70" s="93" t="s">
        <v>545</v>
      </c>
      <c r="I70" s="93" t="s">
        <v>81</v>
      </c>
      <c r="J70" s="93"/>
      <c r="K70" s="93"/>
      <c r="L70" s="93"/>
      <c r="M70" s="93" t="s">
        <v>61</v>
      </c>
      <c r="N70" s="93"/>
    </row>
    <row r="71" ht="18.0" customHeight="1">
      <c r="A71" s="99">
        <v>68.0</v>
      </c>
      <c r="B71" s="99"/>
      <c r="C71" s="99"/>
      <c r="D71" s="99"/>
      <c r="E71" s="99"/>
      <c r="F71" s="99"/>
      <c r="G71" s="99"/>
      <c r="H71" s="99" t="s">
        <v>545</v>
      </c>
      <c r="I71" s="99" t="s">
        <v>81</v>
      </c>
      <c r="J71" s="99"/>
      <c r="K71" s="99"/>
      <c r="L71" s="99"/>
      <c r="M71" s="99" t="s">
        <v>61</v>
      </c>
      <c r="N71" s="99"/>
    </row>
    <row r="72" ht="18.0" customHeight="1">
      <c r="A72" s="93">
        <v>69.0</v>
      </c>
      <c r="B72" s="93"/>
      <c r="C72" s="93"/>
      <c r="D72" s="93"/>
      <c r="E72" s="93"/>
      <c r="F72" s="93"/>
      <c r="G72" s="93"/>
      <c r="H72" s="93" t="s">
        <v>545</v>
      </c>
      <c r="I72" s="93" t="s">
        <v>81</v>
      </c>
      <c r="J72" s="93"/>
      <c r="K72" s="93"/>
      <c r="L72" s="93"/>
      <c r="M72" s="93" t="s">
        <v>61</v>
      </c>
      <c r="N72" s="93"/>
    </row>
    <row r="73" ht="18.0" customHeight="1">
      <c r="A73" s="99">
        <v>70.0</v>
      </c>
      <c r="B73" s="99"/>
      <c r="C73" s="99"/>
      <c r="D73" s="99"/>
      <c r="E73" s="99"/>
      <c r="F73" s="99"/>
      <c r="G73" s="99"/>
      <c r="H73" s="99" t="s">
        <v>545</v>
      </c>
      <c r="I73" s="99" t="s">
        <v>81</v>
      </c>
      <c r="J73" s="99"/>
      <c r="K73" s="99"/>
      <c r="L73" s="99"/>
      <c r="M73" s="99" t="s">
        <v>61</v>
      </c>
      <c r="N73" s="99"/>
    </row>
    <row r="74" ht="18.0" customHeight="1">
      <c r="A74" s="93">
        <v>71.0</v>
      </c>
      <c r="B74" s="93"/>
      <c r="C74" s="93"/>
      <c r="D74" s="93"/>
      <c r="E74" s="93"/>
      <c r="F74" s="93"/>
      <c r="G74" s="93"/>
      <c r="H74" s="93" t="s">
        <v>545</v>
      </c>
      <c r="I74" s="93" t="s">
        <v>81</v>
      </c>
      <c r="J74" s="93"/>
      <c r="K74" s="93"/>
      <c r="L74" s="93"/>
      <c r="M74" s="93" t="s">
        <v>61</v>
      </c>
      <c r="N74" s="93"/>
    </row>
    <row r="75" ht="18.0" customHeight="1">
      <c r="A75" s="99">
        <v>72.0</v>
      </c>
      <c r="B75" s="99"/>
      <c r="C75" s="99"/>
      <c r="D75" s="99"/>
      <c r="E75" s="99"/>
      <c r="F75" s="99"/>
      <c r="G75" s="99"/>
      <c r="H75" s="99" t="s">
        <v>545</v>
      </c>
      <c r="I75" s="99" t="s">
        <v>81</v>
      </c>
      <c r="J75" s="99"/>
      <c r="K75" s="99"/>
      <c r="L75" s="99"/>
      <c r="M75" s="99" t="s">
        <v>61</v>
      </c>
      <c r="N75" s="99"/>
    </row>
    <row r="76" ht="18.0" customHeight="1">
      <c r="A76" s="93">
        <v>73.0</v>
      </c>
      <c r="B76" s="93"/>
      <c r="C76" s="93"/>
      <c r="D76" s="93"/>
      <c r="E76" s="93"/>
      <c r="F76" s="93"/>
      <c r="G76" s="93"/>
      <c r="H76" s="93" t="s">
        <v>545</v>
      </c>
      <c r="I76" s="93" t="s">
        <v>81</v>
      </c>
      <c r="J76" s="93"/>
      <c r="K76" s="93"/>
      <c r="L76" s="93"/>
      <c r="M76" s="93" t="s">
        <v>61</v>
      </c>
      <c r="N76" s="93"/>
    </row>
    <row r="77" ht="18.0" customHeight="1">
      <c r="A77" s="99">
        <v>74.0</v>
      </c>
      <c r="B77" s="99"/>
      <c r="C77" s="99"/>
      <c r="D77" s="99"/>
      <c r="E77" s="99"/>
      <c r="F77" s="99"/>
      <c r="G77" s="99"/>
      <c r="H77" s="99" t="s">
        <v>545</v>
      </c>
      <c r="I77" s="99" t="s">
        <v>81</v>
      </c>
      <c r="J77" s="99"/>
      <c r="K77" s="99"/>
      <c r="L77" s="99"/>
      <c r="M77" s="99" t="s">
        <v>61</v>
      </c>
      <c r="N77" s="99"/>
    </row>
    <row r="78" ht="18.0" customHeight="1">
      <c r="A78" s="93">
        <v>75.0</v>
      </c>
      <c r="B78" s="93"/>
      <c r="C78" s="93"/>
      <c r="D78" s="93"/>
      <c r="E78" s="93"/>
      <c r="F78" s="93"/>
      <c r="G78" s="93"/>
      <c r="H78" s="93" t="s">
        <v>545</v>
      </c>
      <c r="I78" s="93" t="s">
        <v>81</v>
      </c>
      <c r="J78" s="93"/>
      <c r="K78" s="93"/>
      <c r="L78" s="93"/>
      <c r="M78" s="93" t="s">
        <v>61</v>
      </c>
      <c r="N78" s="93"/>
    </row>
    <row r="79" ht="18.0" customHeight="1">
      <c r="A79" s="99">
        <v>76.0</v>
      </c>
      <c r="B79" s="99"/>
      <c r="C79" s="99"/>
      <c r="D79" s="99"/>
      <c r="E79" s="99"/>
      <c r="F79" s="99"/>
      <c r="G79" s="99"/>
      <c r="H79" s="99" t="s">
        <v>545</v>
      </c>
      <c r="I79" s="99" t="s">
        <v>81</v>
      </c>
      <c r="J79" s="99"/>
      <c r="K79" s="99"/>
      <c r="L79" s="99"/>
      <c r="M79" s="99" t="s">
        <v>61</v>
      </c>
      <c r="N79" s="99"/>
    </row>
    <row r="80" ht="18.0" customHeight="1">
      <c r="A80" s="93">
        <v>77.0</v>
      </c>
      <c r="B80" s="93"/>
      <c r="C80" s="93"/>
      <c r="D80" s="93"/>
      <c r="E80" s="93"/>
      <c r="F80" s="93"/>
      <c r="G80" s="93"/>
      <c r="H80" s="93" t="s">
        <v>545</v>
      </c>
      <c r="I80" s="93" t="s">
        <v>81</v>
      </c>
      <c r="J80" s="93"/>
      <c r="K80" s="93"/>
      <c r="L80" s="93"/>
      <c r="M80" s="93" t="s">
        <v>61</v>
      </c>
      <c r="N80" s="93"/>
    </row>
    <row r="81" ht="18.0" customHeight="1">
      <c r="A81" s="99">
        <v>78.0</v>
      </c>
      <c r="B81" s="99"/>
      <c r="C81" s="99"/>
      <c r="D81" s="99"/>
      <c r="E81" s="99"/>
      <c r="F81" s="99"/>
      <c r="G81" s="99"/>
      <c r="H81" s="99" t="s">
        <v>545</v>
      </c>
      <c r="I81" s="99" t="s">
        <v>81</v>
      </c>
      <c r="J81" s="99"/>
      <c r="K81" s="99"/>
      <c r="L81" s="99"/>
      <c r="M81" s="99" t="s">
        <v>61</v>
      </c>
      <c r="N81" s="99"/>
    </row>
    <row r="82" ht="18.0" customHeight="1">
      <c r="A82" s="93">
        <v>79.0</v>
      </c>
      <c r="B82" s="93"/>
      <c r="C82" s="93"/>
      <c r="D82" s="93"/>
      <c r="E82" s="93"/>
      <c r="F82" s="93"/>
      <c r="G82" s="93"/>
      <c r="H82" s="93" t="s">
        <v>545</v>
      </c>
      <c r="I82" s="93" t="s">
        <v>81</v>
      </c>
      <c r="J82" s="93"/>
      <c r="K82" s="93"/>
      <c r="L82" s="93"/>
      <c r="M82" s="93" t="s">
        <v>61</v>
      </c>
      <c r="N82" s="93"/>
    </row>
    <row r="83" ht="18.0" customHeight="1">
      <c r="A83" s="99">
        <v>80.0</v>
      </c>
      <c r="B83" s="99"/>
      <c r="C83" s="99"/>
      <c r="D83" s="99"/>
      <c r="E83" s="99"/>
      <c r="F83" s="99"/>
      <c r="G83" s="99"/>
      <c r="H83" s="99" t="s">
        <v>545</v>
      </c>
      <c r="I83" s="99" t="s">
        <v>81</v>
      </c>
      <c r="J83" s="99"/>
      <c r="K83" s="99"/>
      <c r="L83" s="99"/>
      <c r="M83" s="99" t="s">
        <v>61</v>
      </c>
      <c r="N83" s="99"/>
    </row>
    <row r="84" ht="18.0" customHeight="1">
      <c r="A84" s="93">
        <v>81.0</v>
      </c>
      <c r="B84" s="93"/>
      <c r="C84" s="93"/>
      <c r="D84" s="93"/>
      <c r="E84" s="93"/>
      <c r="F84" s="93"/>
      <c r="G84" s="93"/>
      <c r="H84" s="93" t="s">
        <v>545</v>
      </c>
      <c r="I84" s="93" t="s">
        <v>81</v>
      </c>
      <c r="J84" s="93"/>
      <c r="K84" s="93"/>
      <c r="L84" s="93"/>
      <c r="M84" s="93" t="s">
        <v>61</v>
      </c>
      <c r="N84" s="93"/>
    </row>
    <row r="85" ht="18.0" customHeight="1">
      <c r="A85" s="99">
        <v>82.0</v>
      </c>
      <c r="B85" s="99"/>
      <c r="C85" s="99"/>
      <c r="D85" s="99"/>
      <c r="E85" s="99"/>
      <c r="F85" s="99"/>
      <c r="G85" s="99"/>
      <c r="H85" s="99" t="s">
        <v>545</v>
      </c>
      <c r="I85" s="99" t="s">
        <v>81</v>
      </c>
      <c r="J85" s="99"/>
      <c r="K85" s="99"/>
      <c r="L85" s="99"/>
      <c r="M85" s="99" t="s">
        <v>61</v>
      </c>
      <c r="N85" s="99"/>
    </row>
    <row r="86" ht="18.0" customHeight="1">
      <c r="A86" s="93">
        <v>83.0</v>
      </c>
      <c r="B86" s="93"/>
      <c r="C86" s="93"/>
      <c r="D86" s="93"/>
      <c r="E86" s="93"/>
      <c r="F86" s="93"/>
      <c r="G86" s="93"/>
      <c r="H86" s="93" t="s">
        <v>545</v>
      </c>
      <c r="I86" s="93" t="s">
        <v>81</v>
      </c>
      <c r="J86" s="93"/>
      <c r="K86" s="93"/>
      <c r="L86" s="93"/>
      <c r="M86" s="93" t="s">
        <v>61</v>
      </c>
      <c r="N86" s="93"/>
    </row>
    <row r="87" ht="18.0" customHeight="1">
      <c r="A87" s="99">
        <v>84.0</v>
      </c>
      <c r="B87" s="99"/>
      <c r="C87" s="99"/>
      <c r="D87" s="99"/>
      <c r="E87" s="99"/>
      <c r="F87" s="99"/>
      <c r="G87" s="99"/>
      <c r="H87" s="99" t="s">
        <v>545</v>
      </c>
      <c r="I87" s="99" t="s">
        <v>81</v>
      </c>
      <c r="J87" s="99"/>
      <c r="K87" s="99"/>
      <c r="L87" s="99"/>
      <c r="M87" s="99" t="s">
        <v>61</v>
      </c>
      <c r="N87" s="99"/>
    </row>
    <row r="88" ht="18.0" customHeight="1">
      <c r="A88" s="93">
        <v>85.0</v>
      </c>
      <c r="B88" s="93"/>
      <c r="C88" s="93"/>
      <c r="D88" s="93"/>
      <c r="E88" s="93"/>
      <c r="F88" s="93"/>
      <c r="G88" s="93"/>
      <c r="H88" s="93" t="s">
        <v>545</v>
      </c>
      <c r="I88" s="93" t="s">
        <v>81</v>
      </c>
      <c r="J88" s="93"/>
      <c r="K88" s="93"/>
      <c r="L88" s="93"/>
      <c r="M88" s="93" t="s">
        <v>61</v>
      </c>
      <c r="N88" s="93"/>
    </row>
    <row r="89" ht="18.0" customHeight="1">
      <c r="A89" s="99">
        <v>86.0</v>
      </c>
      <c r="B89" s="99"/>
      <c r="C89" s="99"/>
      <c r="D89" s="99"/>
      <c r="E89" s="99"/>
      <c r="F89" s="99"/>
      <c r="G89" s="99"/>
      <c r="H89" s="99" t="s">
        <v>545</v>
      </c>
      <c r="I89" s="99" t="s">
        <v>81</v>
      </c>
      <c r="J89" s="99"/>
      <c r="K89" s="99"/>
      <c r="L89" s="99"/>
      <c r="M89" s="99" t="s">
        <v>61</v>
      </c>
      <c r="N89" s="99"/>
    </row>
    <row r="90" ht="18.0" customHeight="1">
      <c r="A90" s="93">
        <v>87.0</v>
      </c>
      <c r="B90" s="93"/>
      <c r="C90" s="93"/>
      <c r="D90" s="93"/>
      <c r="E90" s="93"/>
      <c r="F90" s="93"/>
      <c r="G90" s="93"/>
      <c r="H90" s="93" t="s">
        <v>545</v>
      </c>
      <c r="I90" s="93" t="s">
        <v>81</v>
      </c>
      <c r="J90" s="93"/>
      <c r="K90" s="93"/>
      <c r="L90" s="93"/>
      <c r="M90" s="93" t="s">
        <v>61</v>
      </c>
      <c r="N90" s="93"/>
    </row>
    <row r="91" ht="18.0" customHeight="1">
      <c r="A91" s="99">
        <v>88.0</v>
      </c>
      <c r="B91" s="99"/>
      <c r="C91" s="99"/>
      <c r="D91" s="99"/>
      <c r="E91" s="99"/>
      <c r="F91" s="99"/>
      <c r="G91" s="99"/>
      <c r="H91" s="99" t="s">
        <v>545</v>
      </c>
      <c r="I91" s="99" t="s">
        <v>81</v>
      </c>
      <c r="J91" s="99"/>
      <c r="K91" s="99"/>
      <c r="L91" s="99"/>
      <c r="M91" s="99" t="s">
        <v>61</v>
      </c>
      <c r="N91" s="99"/>
    </row>
    <row r="92" ht="18.0" customHeight="1">
      <c r="A92" s="93">
        <v>89.0</v>
      </c>
      <c r="B92" s="93"/>
      <c r="C92" s="93"/>
      <c r="D92" s="93"/>
      <c r="E92" s="93"/>
      <c r="F92" s="93"/>
      <c r="G92" s="93"/>
      <c r="H92" s="93" t="s">
        <v>545</v>
      </c>
      <c r="I92" s="93" t="s">
        <v>81</v>
      </c>
      <c r="J92" s="93"/>
      <c r="K92" s="93"/>
      <c r="L92" s="93"/>
      <c r="M92" s="93" t="s">
        <v>61</v>
      </c>
      <c r="N92" s="93"/>
    </row>
    <row r="93" ht="18.0" customHeight="1">
      <c r="A93" s="99">
        <v>90.0</v>
      </c>
      <c r="B93" s="99"/>
      <c r="C93" s="99"/>
      <c r="D93" s="99"/>
      <c r="E93" s="99"/>
      <c r="F93" s="99"/>
      <c r="G93" s="99"/>
      <c r="H93" s="99" t="s">
        <v>545</v>
      </c>
      <c r="I93" s="99" t="s">
        <v>81</v>
      </c>
      <c r="J93" s="99"/>
      <c r="K93" s="99"/>
      <c r="L93" s="99"/>
      <c r="M93" s="99" t="s">
        <v>61</v>
      </c>
      <c r="N93" s="99"/>
    </row>
    <row r="94" ht="18.0" customHeight="1">
      <c r="A94" s="93">
        <v>91.0</v>
      </c>
      <c r="B94" s="93"/>
      <c r="C94" s="93"/>
      <c r="D94" s="93"/>
      <c r="E94" s="93"/>
      <c r="F94" s="93"/>
      <c r="G94" s="93"/>
      <c r="H94" s="93" t="s">
        <v>545</v>
      </c>
      <c r="I94" s="93" t="s">
        <v>81</v>
      </c>
      <c r="J94" s="93"/>
      <c r="K94" s="93"/>
      <c r="L94" s="93"/>
      <c r="M94" s="93" t="s">
        <v>61</v>
      </c>
      <c r="N94" s="93"/>
    </row>
    <row r="95" ht="18.0" customHeight="1">
      <c r="A95" s="99">
        <v>92.0</v>
      </c>
      <c r="B95" s="99"/>
      <c r="C95" s="99"/>
      <c r="D95" s="99"/>
      <c r="E95" s="99"/>
      <c r="F95" s="99"/>
      <c r="G95" s="99"/>
      <c r="H95" s="99" t="s">
        <v>545</v>
      </c>
      <c r="I95" s="99" t="s">
        <v>81</v>
      </c>
      <c r="J95" s="99"/>
      <c r="K95" s="99"/>
      <c r="L95" s="99"/>
      <c r="M95" s="99" t="s">
        <v>61</v>
      </c>
      <c r="N95" s="99"/>
    </row>
    <row r="96" ht="18.0" customHeight="1">
      <c r="A96" s="93">
        <v>93.0</v>
      </c>
      <c r="B96" s="93"/>
      <c r="C96" s="93"/>
      <c r="D96" s="93"/>
      <c r="E96" s="93"/>
      <c r="F96" s="93"/>
      <c r="G96" s="93"/>
      <c r="H96" s="93" t="s">
        <v>545</v>
      </c>
      <c r="I96" s="93" t="s">
        <v>81</v>
      </c>
      <c r="J96" s="93"/>
      <c r="K96" s="93"/>
      <c r="L96" s="93"/>
      <c r="M96" s="93" t="s">
        <v>61</v>
      </c>
      <c r="N96" s="93"/>
    </row>
    <row r="97" ht="18.0" customHeight="1">
      <c r="A97" s="99">
        <v>94.0</v>
      </c>
      <c r="B97" s="99"/>
      <c r="C97" s="99"/>
      <c r="D97" s="99"/>
      <c r="E97" s="99"/>
      <c r="F97" s="99"/>
      <c r="G97" s="99"/>
      <c r="H97" s="99" t="s">
        <v>545</v>
      </c>
      <c r="I97" s="99" t="s">
        <v>81</v>
      </c>
      <c r="J97" s="99"/>
      <c r="K97" s="99"/>
      <c r="L97" s="99"/>
      <c r="M97" s="99" t="s">
        <v>61</v>
      </c>
      <c r="N97" s="99"/>
    </row>
    <row r="98" ht="18.0" customHeight="1">
      <c r="A98" s="93">
        <v>95.0</v>
      </c>
      <c r="B98" s="93"/>
      <c r="C98" s="93"/>
      <c r="D98" s="93"/>
      <c r="E98" s="93"/>
      <c r="F98" s="93"/>
      <c r="G98" s="93"/>
      <c r="H98" s="93" t="s">
        <v>545</v>
      </c>
      <c r="I98" s="93" t="s">
        <v>81</v>
      </c>
      <c r="J98" s="93"/>
      <c r="K98" s="93"/>
      <c r="L98" s="93"/>
      <c r="M98" s="93" t="s">
        <v>61</v>
      </c>
      <c r="N98" s="93"/>
    </row>
    <row r="99" ht="18.0" customHeight="1">
      <c r="A99" s="99">
        <v>96.0</v>
      </c>
      <c r="B99" s="99"/>
      <c r="C99" s="99"/>
      <c r="D99" s="99"/>
      <c r="E99" s="99"/>
      <c r="F99" s="99"/>
      <c r="G99" s="99"/>
      <c r="H99" s="99" t="s">
        <v>545</v>
      </c>
      <c r="I99" s="99" t="s">
        <v>81</v>
      </c>
      <c r="J99" s="99"/>
      <c r="K99" s="99"/>
      <c r="L99" s="99"/>
      <c r="M99" s="99" t="s">
        <v>61</v>
      </c>
      <c r="N99" s="99"/>
    </row>
    <row r="100" ht="18.0" customHeight="1">
      <c r="A100" s="93">
        <v>97.0</v>
      </c>
      <c r="B100" s="93"/>
      <c r="C100" s="93"/>
      <c r="D100" s="93"/>
      <c r="E100" s="93"/>
      <c r="F100" s="93"/>
      <c r="G100" s="93"/>
      <c r="H100" s="93" t="s">
        <v>545</v>
      </c>
      <c r="I100" s="93" t="s">
        <v>81</v>
      </c>
      <c r="J100" s="93"/>
      <c r="K100" s="93"/>
      <c r="L100" s="93"/>
      <c r="M100" s="93" t="s">
        <v>61</v>
      </c>
      <c r="N100" s="93"/>
    </row>
    <row r="101" ht="18.0" customHeight="1">
      <c r="A101" s="99">
        <v>98.0</v>
      </c>
      <c r="B101" s="99"/>
      <c r="C101" s="99"/>
      <c r="D101" s="99"/>
      <c r="E101" s="99"/>
      <c r="F101" s="99"/>
      <c r="G101" s="99"/>
      <c r="H101" s="99" t="s">
        <v>545</v>
      </c>
      <c r="I101" s="99" t="s">
        <v>81</v>
      </c>
      <c r="J101" s="99"/>
      <c r="K101" s="99"/>
      <c r="L101" s="99"/>
      <c r="M101" s="99" t="s">
        <v>61</v>
      </c>
      <c r="N101" s="99"/>
    </row>
    <row r="102" ht="18.0" customHeight="1">
      <c r="A102" s="93">
        <v>99.0</v>
      </c>
      <c r="B102" s="93"/>
      <c r="C102" s="93"/>
      <c r="D102" s="93"/>
      <c r="E102" s="93"/>
      <c r="F102" s="93"/>
      <c r="G102" s="93"/>
      <c r="H102" s="93" t="s">
        <v>545</v>
      </c>
      <c r="I102" s="93" t="s">
        <v>81</v>
      </c>
      <c r="J102" s="93"/>
      <c r="K102" s="93"/>
      <c r="L102" s="93"/>
      <c r="M102" s="93" t="s">
        <v>61</v>
      </c>
      <c r="N102" s="93"/>
    </row>
    <row r="103" ht="18.0" customHeight="1">
      <c r="A103" s="99">
        <v>100.0</v>
      </c>
      <c r="B103" s="99"/>
      <c r="C103" s="99"/>
      <c r="D103" s="99"/>
      <c r="E103" s="99"/>
      <c r="F103" s="99"/>
      <c r="G103" s="99"/>
      <c r="H103" s="99" t="s">
        <v>545</v>
      </c>
      <c r="I103" s="99" t="s">
        <v>81</v>
      </c>
      <c r="J103" s="99"/>
      <c r="K103" s="99"/>
      <c r="L103" s="99"/>
      <c r="M103" s="99" t="s">
        <v>61</v>
      </c>
      <c r="N103" s="99"/>
    </row>
    <row r="104" ht="18.0" customHeight="1">
      <c r="A104" s="93">
        <v>101.0</v>
      </c>
      <c r="B104" s="93"/>
      <c r="C104" s="93"/>
      <c r="D104" s="93"/>
      <c r="E104" s="93"/>
      <c r="F104" s="93"/>
      <c r="G104" s="93"/>
      <c r="H104" s="93" t="s">
        <v>545</v>
      </c>
      <c r="I104" s="93" t="s">
        <v>81</v>
      </c>
      <c r="J104" s="93"/>
      <c r="K104" s="93"/>
      <c r="L104" s="93"/>
      <c r="M104" s="93" t="s">
        <v>61</v>
      </c>
      <c r="N104" s="93"/>
    </row>
    <row r="105" ht="18.0" customHeight="1">
      <c r="A105" s="99">
        <v>102.0</v>
      </c>
      <c r="B105" s="99"/>
      <c r="C105" s="99"/>
      <c r="D105" s="99"/>
      <c r="E105" s="99"/>
      <c r="F105" s="99"/>
      <c r="G105" s="99"/>
      <c r="H105" s="99" t="s">
        <v>545</v>
      </c>
      <c r="I105" s="99" t="s">
        <v>81</v>
      </c>
      <c r="J105" s="99"/>
      <c r="K105" s="99"/>
      <c r="L105" s="99"/>
      <c r="M105" s="99" t="s">
        <v>61</v>
      </c>
      <c r="N105" s="99"/>
    </row>
    <row r="106" ht="18.0" customHeight="1">
      <c r="A106" s="93">
        <v>103.0</v>
      </c>
      <c r="B106" s="93"/>
      <c r="C106" s="93"/>
      <c r="D106" s="93"/>
      <c r="E106" s="93"/>
      <c r="F106" s="93"/>
      <c r="G106" s="93"/>
      <c r="H106" s="93" t="s">
        <v>545</v>
      </c>
      <c r="I106" s="93" t="s">
        <v>81</v>
      </c>
      <c r="J106" s="93"/>
      <c r="K106" s="93"/>
      <c r="L106" s="93"/>
      <c r="M106" s="93" t="s">
        <v>61</v>
      </c>
      <c r="N106" s="93"/>
    </row>
    <row r="107" ht="18.0" customHeight="1">
      <c r="A107" s="99">
        <v>104.0</v>
      </c>
      <c r="B107" s="99"/>
      <c r="C107" s="99"/>
      <c r="D107" s="99"/>
      <c r="E107" s="99"/>
      <c r="F107" s="99"/>
      <c r="G107" s="99"/>
      <c r="H107" s="99" t="s">
        <v>545</v>
      </c>
      <c r="I107" s="99" t="s">
        <v>81</v>
      </c>
      <c r="J107" s="99"/>
      <c r="K107" s="99"/>
      <c r="L107" s="99"/>
      <c r="M107" s="99" t="s">
        <v>61</v>
      </c>
      <c r="N107" s="99"/>
    </row>
    <row r="108" ht="18.0" customHeight="1">
      <c r="A108" s="93">
        <v>105.0</v>
      </c>
      <c r="B108" s="93"/>
      <c r="C108" s="93"/>
      <c r="D108" s="93"/>
      <c r="E108" s="93"/>
      <c r="F108" s="93"/>
      <c r="G108" s="93"/>
      <c r="H108" s="93" t="s">
        <v>545</v>
      </c>
      <c r="I108" s="93" t="s">
        <v>81</v>
      </c>
      <c r="J108" s="93"/>
      <c r="K108" s="93"/>
      <c r="L108" s="93"/>
      <c r="M108" s="93" t="s">
        <v>61</v>
      </c>
      <c r="N108" s="93"/>
    </row>
    <row r="109" ht="18.0" customHeight="1">
      <c r="A109" s="99">
        <v>106.0</v>
      </c>
      <c r="B109" s="99"/>
      <c r="C109" s="99"/>
      <c r="D109" s="99"/>
      <c r="E109" s="99"/>
      <c r="F109" s="99"/>
      <c r="G109" s="99"/>
      <c r="H109" s="99" t="s">
        <v>545</v>
      </c>
      <c r="I109" s="99" t="s">
        <v>81</v>
      </c>
      <c r="J109" s="99"/>
      <c r="K109" s="99"/>
      <c r="L109" s="99"/>
      <c r="M109" s="99" t="s">
        <v>61</v>
      </c>
      <c r="N109" s="99"/>
    </row>
    <row r="110" ht="18.0" customHeight="1">
      <c r="A110" s="93">
        <v>107.0</v>
      </c>
      <c r="B110" s="93"/>
      <c r="C110" s="93"/>
      <c r="D110" s="93"/>
      <c r="E110" s="93"/>
      <c r="F110" s="93"/>
      <c r="G110" s="93"/>
      <c r="H110" s="93" t="s">
        <v>545</v>
      </c>
      <c r="I110" s="93" t="s">
        <v>81</v>
      </c>
      <c r="J110" s="93"/>
      <c r="K110" s="93"/>
      <c r="L110" s="93"/>
      <c r="M110" s="93" t="s">
        <v>61</v>
      </c>
      <c r="N110" s="93"/>
    </row>
    <row r="111" ht="18.0" customHeight="1">
      <c r="A111" s="99">
        <v>108.0</v>
      </c>
      <c r="B111" s="99"/>
      <c r="C111" s="99"/>
      <c r="D111" s="99"/>
      <c r="E111" s="99"/>
      <c r="F111" s="99"/>
      <c r="G111" s="99"/>
      <c r="H111" s="99" t="s">
        <v>545</v>
      </c>
      <c r="I111" s="99" t="s">
        <v>81</v>
      </c>
      <c r="J111" s="99"/>
      <c r="K111" s="99"/>
      <c r="L111" s="99"/>
      <c r="M111" s="99" t="s">
        <v>61</v>
      </c>
      <c r="N111" s="99"/>
    </row>
    <row r="112" ht="18.0" customHeight="1">
      <c r="A112" s="93">
        <v>109.0</v>
      </c>
      <c r="B112" s="93"/>
      <c r="C112" s="93"/>
      <c r="D112" s="93"/>
      <c r="E112" s="93"/>
      <c r="F112" s="93"/>
      <c r="G112" s="93"/>
      <c r="H112" s="93" t="s">
        <v>545</v>
      </c>
      <c r="I112" s="93" t="s">
        <v>81</v>
      </c>
      <c r="J112" s="93"/>
      <c r="K112" s="93"/>
      <c r="L112" s="93"/>
      <c r="M112" s="93" t="s">
        <v>61</v>
      </c>
      <c r="N112" s="93"/>
    </row>
    <row r="113" ht="18.0" customHeight="1">
      <c r="A113" s="99">
        <v>110.0</v>
      </c>
      <c r="B113" s="99"/>
      <c r="C113" s="99"/>
      <c r="D113" s="99"/>
      <c r="E113" s="99"/>
      <c r="F113" s="99"/>
      <c r="G113" s="99"/>
      <c r="H113" s="99" t="s">
        <v>545</v>
      </c>
      <c r="I113" s="99" t="s">
        <v>81</v>
      </c>
      <c r="J113" s="99"/>
      <c r="K113" s="99"/>
      <c r="L113" s="99"/>
      <c r="M113" s="99" t="s">
        <v>61</v>
      </c>
      <c r="N113" s="99"/>
    </row>
    <row r="114" ht="18.0" customHeight="1">
      <c r="A114" s="93">
        <v>111.0</v>
      </c>
      <c r="B114" s="93"/>
      <c r="C114" s="93"/>
      <c r="D114" s="93"/>
      <c r="E114" s="93"/>
      <c r="F114" s="93"/>
      <c r="G114" s="93"/>
      <c r="H114" s="93" t="s">
        <v>545</v>
      </c>
      <c r="I114" s="93" t="s">
        <v>81</v>
      </c>
      <c r="J114" s="93"/>
      <c r="K114" s="93"/>
      <c r="L114" s="93"/>
      <c r="M114" s="93" t="s">
        <v>61</v>
      </c>
      <c r="N114" s="93"/>
    </row>
    <row r="115" ht="18.0" customHeight="1">
      <c r="A115" s="99">
        <v>112.0</v>
      </c>
      <c r="B115" s="99"/>
      <c r="C115" s="99"/>
      <c r="D115" s="99"/>
      <c r="E115" s="99"/>
      <c r="F115" s="99"/>
      <c r="G115" s="99"/>
      <c r="H115" s="99" t="s">
        <v>545</v>
      </c>
      <c r="I115" s="99" t="s">
        <v>81</v>
      </c>
      <c r="J115" s="99"/>
      <c r="K115" s="99"/>
      <c r="L115" s="99"/>
      <c r="M115" s="99" t="s">
        <v>61</v>
      </c>
      <c r="N115" s="99"/>
    </row>
    <row r="116" ht="18.0" customHeight="1">
      <c r="A116" s="93">
        <v>113.0</v>
      </c>
      <c r="B116" s="93"/>
      <c r="C116" s="93"/>
      <c r="D116" s="93"/>
      <c r="E116" s="93"/>
      <c r="F116" s="93"/>
      <c r="G116" s="93"/>
      <c r="H116" s="93" t="s">
        <v>545</v>
      </c>
      <c r="I116" s="93" t="s">
        <v>81</v>
      </c>
      <c r="J116" s="93"/>
      <c r="K116" s="93"/>
      <c r="L116" s="93"/>
      <c r="M116" s="93" t="s">
        <v>61</v>
      </c>
      <c r="N116" s="93"/>
    </row>
    <row r="117" ht="18.0" customHeight="1">
      <c r="A117" s="99">
        <v>114.0</v>
      </c>
      <c r="B117" s="99"/>
      <c r="C117" s="99"/>
      <c r="D117" s="99"/>
      <c r="E117" s="99"/>
      <c r="F117" s="99"/>
      <c r="G117" s="99"/>
      <c r="H117" s="99" t="s">
        <v>545</v>
      </c>
      <c r="I117" s="99" t="s">
        <v>81</v>
      </c>
      <c r="J117" s="99"/>
      <c r="K117" s="99"/>
      <c r="L117" s="99"/>
      <c r="M117" s="99" t="s">
        <v>61</v>
      </c>
      <c r="N117" s="99"/>
    </row>
    <row r="118" ht="18.0" customHeight="1">
      <c r="A118" s="93">
        <v>115.0</v>
      </c>
      <c r="B118" s="93"/>
      <c r="C118" s="93"/>
      <c r="D118" s="93"/>
      <c r="E118" s="93"/>
      <c r="F118" s="93"/>
      <c r="G118" s="93"/>
      <c r="H118" s="93" t="s">
        <v>545</v>
      </c>
      <c r="I118" s="93" t="s">
        <v>81</v>
      </c>
      <c r="J118" s="93"/>
      <c r="K118" s="93"/>
      <c r="L118" s="93"/>
      <c r="M118" s="93" t="s">
        <v>61</v>
      </c>
      <c r="N118" s="93"/>
    </row>
    <row r="119" ht="18.0" customHeight="1">
      <c r="A119" s="99">
        <v>116.0</v>
      </c>
      <c r="B119" s="99"/>
      <c r="C119" s="99"/>
      <c r="D119" s="99"/>
      <c r="E119" s="99"/>
      <c r="F119" s="99"/>
      <c r="G119" s="99"/>
      <c r="H119" s="99" t="s">
        <v>545</v>
      </c>
      <c r="I119" s="99" t="s">
        <v>81</v>
      </c>
      <c r="J119" s="99"/>
      <c r="K119" s="99"/>
      <c r="L119" s="99"/>
      <c r="M119" s="99" t="s">
        <v>61</v>
      </c>
      <c r="N119" s="99"/>
    </row>
    <row r="120" ht="18.0" customHeight="1">
      <c r="A120" s="93">
        <v>117.0</v>
      </c>
      <c r="B120" s="93"/>
      <c r="C120" s="93"/>
      <c r="D120" s="93"/>
      <c r="E120" s="93"/>
      <c r="F120" s="93"/>
      <c r="G120" s="93"/>
      <c r="H120" s="93" t="s">
        <v>545</v>
      </c>
      <c r="I120" s="93" t="s">
        <v>81</v>
      </c>
      <c r="J120" s="93"/>
      <c r="K120" s="93"/>
      <c r="L120" s="93"/>
      <c r="M120" s="93" t="s">
        <v>61</v>
      </c>
      <c r="N120" s="93"/>
    </row>
    <row r="121" ht="18.0" customHeight="1">
      <c r="A121" s="99">
        <v>118.0</v>
      </c>
      <c r="B121" s="99"/>
      <c r="C121" s="99"/>
      <c r="D121" s="99"/>
      <c r="E121" s="99"/>
      <c r="F121" s="99"/>
      <c r="G121" s="99"/>
      <c r="H121" s="99" t="s">
        <v>545</v>
      </c>
      <c r="I121" s="99" t="s">
        <v>81</v>
      </c>
      <c r="J121" s="99"/>
      <c r="K121" s="99"/>
      <c r="L121" s="99"/>
      <c r="M121" s="99" t="s">
        <v>61</v>
      </c>
      <c r="N121" s="99"/>
    </row>
    <row r="122" ht="18.0" customHeight="1">
      <c r="A122" s="93">
        <v>119.0</v>
      </c>
      <c r="B122" s="93"/>
      <c r="C122" s="93"/>
      <c r="D122" s="93"/>
      <c r="E122" s="93"/>
      <c r="F122" s="93"/>
      <c r="G122" s="93"/>
      <c r="H122" s="93" t="s">
        <v>545</v>
      </c>
      <c r="I122" s="93" t="s">
        <v>81</v>
      </c>
      <c r="J122" s="93"/>
      <c r="K122" s="93"/>
      <c r="L122" s="93"/>
      <c r="M122" s="93" t="s">
        <v>61</v>
      </c>
      <c r="N122" s="93"/>
    </row>
    <row r="123" ht="18.0" customHeight="1">
      <c r="A123" s="99">
        <v>120.0</v>
      </c>
      <c r="B123" s="99"/>
      <c r="C123" s="99"/>
      <c r="D123" s="99"/>
      <c r="E123" s="99"/>
      <c r="F123" s="99"/>
      <c r="G123" s="99"/>
      <c r="H123" s="99" t="s">
        <v>545</v>
      </c>
      <c r="I123" s="99" t="s">
        <v>81</v>
      </c>
      <c r="J123" s="99"/>
      <c r="K123" s="99"/>
      <c r="L123" s="99"/>
      <c r="M123" s="99" t="s">
        <v>61</v>
      </c>
      <c r="N123" s="99"/>
    </row>
    <row r="124" ht="18.0" customHeight="1">
      <c r="A124" s="93">
        <v>121.0</v>
      </c>
      <c r="B124" s="93"/>
      <c r="C124" s="93"/>
      <c r="D124" s="93"/>
      <c r="E124" s="93"/>
      <c r="F124" s="93"/>
      <c r="G124" s="93"/>
      <c r="H124" s="93" t="s">
        <v>545</v>
      </c>
      <c r="I124" s="93" t="s">
        <v>81</v>
      </c>
      <c r="J124" s="93"/>
      <c r="K124" s="93"/>
      <c r="L124" s="93"/>
      <c r="M124" s="93" t="s">
        <v>61</v>
      </c>
      <c r="N124" s="93"/>
    </row>
    <row r="125" ht="18.0" customHeight="1">
      <c r="A125" s="99">
        <v>122.0</v>
      </c>
      <c r="B125" s="99"/>
      <c r="C125" s="99"/>
      <c r="D125" s="99"/>
      <c r="E125" s="99"/>
      <c r="F125" s="99"/>
      <c r="G125" s="99"/>
      <c r="H125" s="99" t="s">
        <v>545</v>
      </c>
      <c r="I125" s="99" t="s">
        <v>81</v>
      </c>
      <c r="J125" s="99"/>
      <c r="K125" s="99"/>
      <c r="L125" s="99"/>
      <c r="M125" s="99" t="s">
        <v>61</v>
      </c>
      <c r="N125" s="99"/>
    </row>
    <row r="126" ht="18.0" customHeight="1">
      <c r="A126" s="93">
        <v>123.0</v>
      </c>
      <c r="B126" s="93"/>
      <c r="C126" s="93"/>
      <c r="D126" s="93"/>
      <c r="E126" s="93"/>
      <c r="F126" s="93"/>
      <c r="G126" s="93"/>
      <c r="H126" s="93" t="s">
        <v>545</v>
      </c>
      <c r="I126" s="93" t="s">
        <v>81</v>
      </c>
      <c r="J126" s="93"/>
      <c r="K126" s="93"/>
      <c r="L126" s="93"/>
      <c r="M126" s="93" t="s">
        <v>61</v>
      </c>
      <c r="N126" s="93"/>
    </row>
    <row r="127" ht="18.0" customHeight="1">
      <c r="A127" s="99">
        <v>124.0</v>
      </c>
      <c r="B127" s="99"/>
      <c r="C127" s="99"/>
      <c r="D127" s="99"/>
      <c r="E127" s="99"/>
      <c r="F127" s="99"/>
      <c r="G127" s="99"/>
      <c r="H127" s="99" t="s">
        <v>545</v>
      </c>
      <c r="I127" s="99" t="s">
        <v>81</v>
      </c>
      <c r="J127" s="99"/>
      <c r="K127" s="99"/>
      <c r="L127" s="99"/>
      <c r="M127" s="99" t="s">
        <v>61</v>
      </c>
      <c r="N127" s="99"/>
    </row>
    <row r="128" ht="18.0" customHeight="1">
      <c r="A128" s="93">
        <v>125.0</v>
      </c>
      <c r="B128" s="93"/>
      <c r="C128" s="93"/>
      <c r="D128" s="93"/>
      <c r="E128" s="93"/>
      <c r="F128" s="93"/>
      <c r="G128" s="93"/>
      <c r="H128" s="93" t="s">
        <v>545</v>
      </c>
      <c r="I128" s="93" t="s">
        <v>81</v>
      </c>
      <c r="J128" s="93"/>
      <c r="K128" s="93"/>
      <c r="L128" s="93"/>
      <c r="M128" s="93" t="s">
        <v>61</v>
      </c>
      <c r="N128" s="93"/>
    </row>
    <row r="129" ht="18.0" customHeight="1">
      <c r="A129" s="99">
        <v>126.0</v>
      </c>
      <c r="B129" s="99"/>
      <c r="C129" s="99"/>
      <c r="D129" s="99"/>
      <c r="E129" s="99"/>
      <c r="F129" s="99"/>
      <c r="G129" s="99"/>
      <c r="H129" s="99" t="s">
        <v>545</v>
      </c>
      <c r="I129" s="99" t="s">
        <v>81</v>
      </c>
      <c r="J129" s="99"/>
      <c r="K129" s="99"/>
      <c r="L129" s="99"/>
      <c r="M129" s="99" t="s">
        <v>61</v>
      </c>
      <c r="N129" s="99"/>
    </row>
    <row r="130" ht="18.0" customHeight="1">
      <c r="A130" s="93">
        <v>127.0</v>
      </c>
      <c r="B130" s="93"/>
      <c r="C130" s="93"/>
      <c r="D130" s="93"/>
      <c r="E130" s="93"/>
      <c r="F130" s="93"/>
      <c r="G130" s="93"/>
      <c r="H130" s="93" t="s">
        <v>545</v>
      </c>
      <c r="I130" s="93" t="s">
        <v>81</v>
      </c>
      <c r="J130" s="93"/>
      <c r="K130" s="93"/>
      <c r="L130" s="93"/>
      <c r="M130" s="93" t="s">
        <v>61</v>
      </c>
      <c r="N130" s="93"/>
    </row>
    <row r="131" ht="18.0" customHeight="1">
      <c r="A131" s="99">
        <v>128.0</v>
      </c>
      <c r="B131" s="99"/>
      <c r="C131" s="99"/>
      <c r="D131" s="99"/>
      <c r="E131" s="99"/>
      <c r="F131" s="99"/>
      <c r="G131" s="99"/>
      <c r="H131" s="99" t="s">
        <v>545</v>
      </c>
      <c r="I131" s="99" t="s">
        <v>81</v>
      </c>
      <c r="J131" s="99"/>
      <c r="K131" s="99"/>
      <c r="L131" s="99"/>
      <c r="M131" s="99" t="s">
        <v>61</v>
      </c>
      <c r="N131" s="99"/>
    </row>
    <row r="132" ht="18.0" customHeight="1">
      <c r="A132" s="93">
        <v>129.0</v>
      </c>
      <c r="B132" s="93"/>
      <c r="C132" s="93"/>
      <c r="D132" s="93"/>
      <c r="E132" s="93"/>
      <c r="F132" s="93"/>
      <c r="G132" s="93"/>
      <c r="H132" s="93" t="s">
        <v>545</v>
      </c>
      <c r="I132" s="93" t="s">
        <v>81</v>
      </c>
      <c r="J132" s="93"/>
      <c r="K132" s="93"/>
      <c r="L132" s="93"/>
      <c r="M132" s="93" t="s">
        <v>61</v>
      </c>
      <c r="N132" s="93"/>
    </row>
    <row r="133" ht="18.0" customHeight="1">
      <c r="A133" s="99">
        <v>130.0</v>
      </c>
      <c r="B133" s="99"/>
      <c r="C133" s="99"/>
      <c r="D133" s="99"/>
      <c r="E133" s="99"/>
      <c r="F133" s="99"/>
      <c r="G133" s="99"/>
      <c r="H133" s="99" t="s">
        <v>545</v>
      </c>
      <c r="I133" s="99" t="s">
        <v>81</v>
      </c>
      <c r="J133" s="99"/>
      <c r="K133" s="99"/>
      <c r="L133" s="99"/>
      <c r="M133" s="99" t="s">
        <v>61</v>
      </c>
      <c r="N133" s="99"/>
    </row>
    <row r="134" ht="18.0" customHeight="1">
      <c r="A134" s="93">
        <v>131.0</v>
      </c>
      <c r="B134" s="93"/>
      <c r="C134" s="93"/>
      <c r="D134" s="93"/>
      <c r="E134" s="93"/>
      <c r="F134" s="93"/>
      <c r="G134" s="93"/>
      <c r="H134" s="93" t="s">
        <v>545</v>
      </c>
      <c r="I134" s="93" t="s">
        <v>81</v>
      </c>
      <c r="J134" s="93"/>
      <c r="K134" s="93"/>
      <c r="L134" s="93"/>
      <c r="M134" s="93" t="s">
        <v>61</v>
      </c>
      <c r="N134" s="93"/>
    </row>
    <row r="135" ht="18.0" customHeight="1">
      <c r="A135" s="99">
        <v>132.0</v>
      </c>
      <c r="B135" s="99"/>
      <c r="C135" s="99"/>
      <c r="D135" s="99"/>
      <c r="E135" s="99"/>
      <c r="F135" s="99"/>
      <c r="G135" s="99"/>
      <c r="H135" s="99" t="s">
        <v>545</v>
      </c>
      <c r="I135" s="99" t="s">
        <v>81</v>
      </c>
      <c r="J135" s="99"/>
      <c r="K135" s="99"/>
      <c r="L135" s="99"/>
      <c r="M135" s="99" t="s">
        <v>61</v>
      </c>
      <c r="N135" s="99"/>
    </row>
    <row r="136" ht="18.0" customHeight="1">
      <c r="A136" s="93">
        <v>133.0</v>
      </c>
      <c r="B136" s="93"/>
      <c r="C136" s="93"/>
      <c r="D136" s="93"/>
      <c r="E136" s="93"/>
      <c r="F136" s="93"/>
      <c r="G136" s="93"/>
      <c r="H136" s="93" t="s">
        <v>545</v>
      </c>
      <c r="I136" s="93" t="s">
        <v>81</v>
      </c>
      <c r="J136" s="93"/>
      <c r="K136" s="93"/>
      <c r="L136" s="93"/>
      <c r="M136" s="93" t="s">
        <v>61</v>
      </c>
      <c r="N136" s="93"/>
    </row>
    <row r="137" ht="18.0" customHeight="1">
      <c r="A137" s="99">
        <v>134.0</v>
      </c>
      <c r="B137" s="99"/>
      <c r="C137" s="99"/>
      <c r="D137" s="99"/>
      <c r="E137" s="99"/>
      <c r="F137" s="99"/>
      <c r="G137" s="99"/>
      <c r="H137" s="99" t="s">
        <v>545</v>
      </c>
      <c r="I137" s="99" t="s">
        <v>81</v>
      </c>
      <c r="J137" s="99"/>
      <c r="K137" s="99"/>
      <c r="L137" s="99"/>
      <c r="M137" s="99" t="s">
        <v>61</v>
      </c>
      <c r="N137" s="99"/>
    </row>
    <row r="138" ht="18.0" customHeight="1">
      <c r="A138" s="93">
        <v>135.0</v>
      </c>
      <c r="B138" s="93"/>
      <c r="C138" s="93"/>
      <c r="D138" s="93"/>
      <c r="E138" s="93"/>
      <c r="F138" s="93"/>
      <c r="G138" s="93"/>
      <c r="H138" s="93" t="s">
        <v>545</v>
      </c>
      <c r="I138" s="93" t="s">
        <v>81</v>
      </c>
      <c r="J138" s="93"/>
      <c r="K138" s="93"/>
      <c r="L138" s="93"/>
      <c r="M138" s="93" t="s">
        <v>61</v>
      </c>
      <c r="N138" s="93"/>
    </row>
    <row r="139" ht="18.0" customHeight="1">
      <c r="A139" s="99">
        <v>136.0</v>
      </c>
      <c r="B139" s="99"/>
      <c r="C139" s="99"/>
      <c r="D139" s="99"/>
      <c r="E139" s="99"/>
      <c r="F139" s="99"/>
      <c r="G139" s="99"/>
      <c r="H139" s="99" t="s">
        <v>545</v>
      </c>
      <c r="I139" s="99" t="s">
        <v>81</v>
      </c>
      <c r="J139" s="99"/>
      <c r="K139" s="99"/>
      <c r="L139" s="99"/>
      <c r="M139" s="99" t="s">
        <v>61</v>
      </c>
      <c r="N139" s="99"/>
    </row>
    <row r="140" ht="18.0" customHeight="1">
      <c r="A140" s="93">
        <v>137.0</v>
      </c>
      <c r="B140" s="93"/>
      <c r="C140" s="93"/>
      <c r="D140" s="93"/>
      <c r="E140" s="93"/>
      <c r="F140" s="93"/>
      <c r="G140" s="93"/>
      <c r="H140" s="93" t="s">
        <v>545</v>
      </c>
      <c r="I140" s="93" t="s">
        <v>81</v>
      </c>
      <c r="J140" s="93"/>
      <c r="K140" s="93"/>
      <c r="L140" s="93"/>
      <c r="M140" s="93" t="s">
        <v>61</v>
      </c>
      <c r="N140" s="93"/>
    </row>
    <row r="141" ht="18.0" customHeight="1">
      <c r="A141" s="99">
        <v>138.0</v>
      </c>
      <c r="B141" s="99"/>
      <c r="C141" s="99"/>
      <c r="D141" s="99"/>
      <c r="E141" s="99"/>
      <c r="F141" s="99"/>
      <c r="G141" s="99"/>
      <c r="H141" s="99" t="s">
        <v>545</v>
      </c>
      <c r="I141" s="99" t="s">
        <v>81</v>
      </c>
      <c r="J141" s="99"/>
      <c r="K141" s="99"/>
      <c r="L141" s="99"/>
      <c r="M141" s="99" t="s">
        <v>61</v>
      </c>
      <c r="N141" s="99"/>
    </row>
    <row r="142" ht="18.0" customHeight="1">
      <c r="A142" s="93">
        <v>139.0</v>
      </c>
      <c r="B142" s="93"/>
      <c r="C142" s="93"/>
      <c r="D142" s="93"/>
      <c r="E142" s="93"/>
      <c r="F142" s="93"/>
      <c r="G142" s="93"/>
      <c r="H142" s="93" t="s">
        <v>545</v>
      </c>
      <c r="I142" s="93" t="s">
        <v>81</v>
      </c>
      <c r="J142" s="93"/>
      <c r="K142" s="93"/>
      <c r="L142" s="93"/>
      <c r="M142" s="93" t="s">
        <v>61</v>
      </c>
      <c r="N142" s="93"/>
    </row>
    <row r="143" ht="18.0" customHeight="1">
      <c r="A143" s="99">
        <v>140.0</v>
      </c>
      <c r="B143" s="99"/>
      <c r="C143" s="99"/>
      <c r="D143" s="99"/>
      <c r="E143" s="99"/>
      <c r="F143" s="99"/>
      <c r="G143" s="99"/>
      <c r="H143" s="99" t="s">
        <v>545</v>
      </c>
      <c r="I143" s="99" t="s">
        <v>81</v>
      </c>
      <c r="J143" s="99"/>
      <c r="K143" s="99"/>
      <c r="L143" s="99"/>
      <c r="M143" s="99" t="s">
        <v>61</v>
      </c>
      <c r="N143" s="99"/>
    </row>
    <row r="144" ht="18.0" customHeight="1">
      <c r="A144" s="93">
        <v>141.0</v>
      </c>
      <c r="B144" s="93"/>
      <c r="C144" s="93"/>
      <c r="D144" s="93"/>
      <c r="E144" s="93"/>
      <c r="F144" s="93"/>
      <c r="G144" s="93"/>
      <c r="H144" s="93" t="s">
        <v>545</v>
      </c>
      <c r="I144" s="93" t="s">
        <v>81</v>
      </c>
      <c r="J144" s="93"/>
      <c r="K144" s="93"/>
      <c r="L144" s="93"/>
      <c r="M144" s="93" t="s">
        <v>61</v>
      </c>
      <c r="N144" s="93"/>
    </row>
    <row r="145" ht="18.0" customHeight="1">
      <c r="A145" s="99">
        <v>142.0</v>
      </c>
      <c r="B145" s="99"/>
      <c r="C145" s="99"/>
      <c r="D145" s="99"/>
      <c r="E145" s="99"/>
      <c r="F145" s="99"/>
      <c r="G145" s="99"/>
      <c r="H145" s="99" t="s">
        <v>545</v>
      </c>
      <c r="I145" s="99" t="s">
        <v>81</v>
      </c>
      <c r="J145" s="99"/>
      <c r="K145" s="99"/>
      <c r="L145" s="99"/>
      <c r="M145" s="99" t="s">
        <v>61</v>
      </c>
      <c r="N145" s="99"/>
    </row>
    <row r="146" ht="18.0" customHeight="1">
      <c r="A146" s="93">
        <v>143.0</v>
      </c>
      <c r="B146" s="93"/>
      <c r="C146" s="93"/>
      <c r="D146" s="93"/>
      <c r="E146" s="93"/>
      <c r="F146" s="93"/>
      <c r="G146" s="93"/>
      <c r="H146" s="93" t="s">
        <v>545</v>
      </c>
      <c r="I146" s="93" t="s">
        <v>81</v>
      </c>
      <c r="J146" s="93"/>
      <c r="K146" s="93"/>
      <c r="L146" s="93"/>
      <c r="M146" s="93" t="s">
        <v>61</v>
      </c>
      <c r="N146" s="93"/>
    </row>
    <row r="147" ht="18.0" customHeight="1">
      <c r="A147" s="99">
        <v>144.0</v>
      </c>
      <c r="B147" s="99"/>
      <c r="C147" s="99"/>
      <c r="D147" s="99"/>
      <c r="E147" s="99"/>
      <c r="F147" s="99"/>
      <c r="G147" s="99"/>
      <c r="H147" s="99" t="s">
        <v>545</v>
      </c>
      <c r="I147" s="99" t="s">
        <v>81</v>
      </c>
      <c r="J147" s="99"/>
      <c r="K147" s="99"/>
      <c r="L147" s="99"/>
      <c r="M147" s="99" t="s">
        <v>61</v>
      </c>
      <c r="N147" s="99"/>
    </row>
    <row r="148" ht="18.0" customHeight="1">
      <c r="A148" s="93">
        <v>145.0</v>
      </c>
      <c r="B148" s="93"/>
      <c r="C148" s="93"/>
      <c r="D148" s="93"/>
      <c r="E148" s="93"/>
      <c r="F148" s="93"/>
      <c r="G148" s="93"/>
      <c r="H148" s="93" t="s">
        <v>545</v>
      </c>
      <c r="I148" s="93" t="s">
        <v>81</v>
      </c>
      <c r="J148" s="93"/>
      <c r="K148" s="93"/>
      <c r="L148" s="93"/>
      <c r="M148" s="93" t="s">
        <v>61</v>
      </c>
      <c r="N148" s="93"/>
    </row>
    <row r="149" ht="18.0" customHeight="1">
      <c r="A149" s="99">
        <v>146.0</v>
      </c>
      <c r="B149" s="99"/>
      <c r="C149" s="99"/>
      <c r="D149" s="99"/>
      <c r="E149" s="99"/>
      <c r="F149" s="99"/>
      <c r="G149" s="99"/>
      <c r="H149" s="99" t="s">
        <v>545</v>
      </c>
      <c r="I149" s="99" t="s">
        <v>81</v>
      </c>
      <c r="J149" s="99"/>
      <c r="K149" s="99"/>
      <c r="L149" s="99"/>
      <c r="M149" s="99" t="s">
        <v>61</v>
      </c>
      <c r="N149" s="99"/>
    </row>
    <row r="150" ht="18.0" customHeight="1">
      <c r="A150" s="93">
        <v>147.0</v>
      </c>
      <c r="B150" s="93"/>
      <c r="C150" s="93"/>
      <c r="D150" s="93"/>
      <c r="E150" s="93"/>
      <c r="F150" s="93"/>
      <c r="G150" s="93"/>
      <c r="H150" s="93" t="s">
        <v>545</v>
      </c>
      <c r="I150" s="93" t="s">
        <v>81</v>
      </c>
      <c r="J150" s="93"/>
      <c r="K150" s="93"/>
      <c r="L150" s="93"/>
      <c r="M150" s="93" t="s">
        <v>61</v>
      </c>
      <c r="N150" s="93"/>
    </row>
    <row r="151" ht="18.0" customHeight="1">
      <c r="A151" s="99">
        <v>148.0</v>
      </c>
      <c r="B151" s="99"/>
      <c r="C151" s="99"/>
      <c r="D151" s="99"/>
      <c r="E151" s="99"/>
      <c r="F151" s="99"/>
      <c r="G151" s="99"/>
      <c r="H151" s="99" t="s">
        <v>545</v>
      </c>
      <c r="I151" s="99" t="s">
        <v>81</v>
      </c>
      <c r="J151" s="99"/>
      <c r="K151" s="99"/>
      <c r="L151" s="99"/>
      <c r="M151" s="99" t="s">
        <v>61</v>
      </c>
      <c r="N151" s="99"/>
    </row>
    <row r="152" ht="18.0" customHeight="1">
      <c r="A152" s="93">
        <v>149.0</v>
      </c>
      <c r="B152" s="93"/>
      <c r="C152" s="93"/>
      <c r="D152" s="93"/>
      <c r="E152" s="93"/>
      <c r="F152" s="93"/>
      <c r="G152" s="93"/>
      <c r="H152" s="93" t="s">
        <v>545</v>
      </c>
      <c r="I152" s="93" t="s">
        <v>81</v>
      </c>
      <c r="J152" s="93"/>
      <c r="K152" s="93"/>
      <c r="L152" s="93"/>
      <c r="M152" s="93" t="s">
        <v>61</v>
      </c>
      <c r="N152" s="93"/>
    </row>
    <row r="153" ht="18.0" customHeight="1">
      <c r="A153" s="99">
        <v>150.0</v>
      </c>
      <c r="B153" s="99"/>
      <c r="C153" s="99"/>
      <c r="D153" s="99"/>
      <c r="E153" s="99"/>
      <c r="F153" s="99"/>
      <c r="G153" s="99"/>
      <c r="H153" s="99" t="s">
        <v>545</v>
      </c>
      <c r="I153" s="99" t="s">
        <v>81</v>
      </c>
      <c r="J153" s="99"/>
      <c r="K153" s="99"/>
      <c r="L153" s="99"/>
      <c r="M153" s="99" t="s">
        <v>61</v>
      </c>
      <c r="N153" s="99"/>
    </row>
    <row r="154" ht="18.0" customHeight="1">
      <c r="A154" s="93">
        <v>151.0</v>
      </c>
      <c r="B154" s="93"/>
      <c r="C154" s="93"/>
      <c r="D154" s="93"/>
      <c r="E154" s="93"/>
      <c r="F154" s="93"/>
      <c r="G154" s="93"/>
      <c r="H154" s="93" t="s">
        <v>545</v>
      </c>
      <c r="I154" s="93" t="s">
        <v>81</v>
      </c>
      <c r="J154" s="93"/>
      <c r="K154" s="93"/>
      <c r="L154" s="93"/>
      <c r="M154" s="93" t="s">
        <v>61</v>
      </c>
      <c r="N154" s="93"/>
    </row>
    <row r="155" ht="18.0" customHeight="1">
      <c r="A155" s="99">
        <v>152.0</v>
      </c>
      <c r="B155" s="99"/>
      <c r="C155" s="99"/>
      <c r="D155" s="99"/>
      <c r="E155" s="99"/>
      <c r="F155" s="99"/>
      <c r="G155" s="99"/>
      <c r="H155" s="99" t="s">
        <v>545</v>
      </c>
      <c r="I155" s="99" t="s">
        <v>81</v>
      </c>
      <c r="J155" s="99"/>
      <c r="K155" s="99"/>
      <c r="L155" s="99"/>
      <c r="M155" s="99" t="s">
        <v>61</v>
      </c>
      <c r="N155" s="99"/>
    </row>
    <row r="156" ht="18.0" customHeight="1">
      <c r="A156" s="93">
        <v>153.0</v>
      </c>
      <c r="B156" s="93"/>
      <c r="C156" s="93"/>
      <c r="D156" s="93"/>
      <c r="E156" s="93"/>
      <c r="F156" s="93"/>
      <c r="G156" s="93"/>
      <c r="H156" s="93" t="s">
        <v>545</v>
      </c>
      <c r="I156" s="93" t="s">
        <v>81</v>
      </c>
      <c r="J156" s="93"/>
      <c r="K156" s="93"/>
      <c r="L156" s="93"/>
      <c r="M156" s="93" t="s">
        <v>61</v>
      </c>
      <c r="N156" s="93"/>
    </row>
    <row r="157" ht="18.0" customHeight="1">
      <c r="A157" s="99">
        <v>154.0</v>
      </c>
      <c r="B157" s="99"/>
      <c r="C157" s="99"/>
      <c r="D157" s="99"/>
      <c r="E157" s="99"/>
      <c r="F157" s="99"/>
      <c r="G157" s="99"/>
      <c r="H157" s="99" t="s">
        <v>545</v>
      </c>
      <c r="I157" s="99" t="s">
        <v>81</v>
      </c>
      <c r="J157" s="99"/>
      <c r="K157" s="99"/>
      <c r="L157" s="99"/>
      <c r="M157" s="99" t="s">
        <v>61</v>
      </c>
      <c r="N157" s="99"/>
    </row>
    <row r="158" ht="18.0" customHeight="1">
      <c r="A158" s="93">
        <v>155.0</v>
      </c>
      <c r="B158" s="93"/>
      <c r="C158" s="93"/>
      <c r="D158" s="93"/>
      <c r="E158" s="93"/>
      <c r="F158" s="93"/>
      <c r="G158" s="93"/>
      <c r="H158" s="93" t="s">
        <v>545</v>
      </c>
      <c r="I158" s="93" t="s">
        <v>81</v>
      </c>
      <c r="J158" s="93"/>
      <c r="K158" s="93"/>
      <c r="L158" s="93"/>
      <c r="M158" s="93" t="s">
        <v>61</v>
      </c>
      <c r="N158" s="93"/>
    </row>
    <row r="159" ht="18.0" customHeight="1">
      <c r="A159" s="99">
        <v>156.0</v>
      </c>
      <c r="B159" s="99"/>
      <c r="C159" s="99"/>
      <c r="D159" s="99"/>
      <c r="E159" s="99"/>
      <c r="F159" s="99"/>
      <c r="G159" s="99"/>
      <c r="H159" s="99" t="s">
        <v>545</v>
      </c>
      <c r="I159" s="99" t="s">
        <v>81</v>
      </c>
      <c r="J159" s="99"/>
      <c r="K159" s="99"/>
      <c r="L159" s="99"/>
      <c r="M159" s="99" t="s">
        <v>61</v>
      </c>
      <c r="N159" s="99"/>
    </row>
    <row r="160" ht="18.0" customHeight="1">
      <c r="A160" s="93">
        <v>157.0</v>
      </c>
      <c r="B160" s="93"/>
      <c r="C160" s="93"/>
      <c r="D160" s="93"/>
      <c r="E160" s="93"/>
      <c r="F160" s="93"/>
      <c r="G160" s="93"/>
      <c r="H160" s="93" t="s">
        <v>545</v>
      </c>
      <c r="I160" s="93" t="s">
        <v>81</v>
      </c>
      <c r="J160" s="93"/>
      <c r="K160" s="93"/>
      <c r="L160" s="93"/>
      <c r="M160" s="93" t="s">
        <v>61</v>
      </c>
      <c r="N160" s="93"/>
    </row>
    <row r="161" ht="18.0" customHeight="1">
      <c r="A161" s="99">
        <v>158.0</v>
      </c>
      <c r="B161" s="99"/>
      <c r="C161" s="99"/>
      <c r="D161" s="99"/>
      <c r="E161" s="99"/>
      <c r="F161" s="99"/>
      <c r="G161" s="99"/>
      <c r="H161" s="99" t="s">
        <v>545</v>
      </c>
      <c r="I161" s="99" t="s">
        <v>81</v>
      </c>
      <c r="J161" s="99"/>
      <c r="K161" s="99"/>
      <c r="L161" s="99"/>
      <c r="M161" s="99" t="s">
        <v>61</v>
      </c>
      <c r="N161" s="99"/>
    </row>
    <row r="162" ht="18.0" customHeight="1">
      <c r="A162" s="93">
        <v>159.0</v>
      </c>
      <c r="B162" s="93"/>
      <c r="C162" s="93"/>
      <c r="D162" s="93"/>
      <c r="E162" s="93"/>
      <c r="F162" s="93"/>
      <c r="G162" s="93"/>
      <c r="H162" s="93" t="s">
        <v>545</v>
      </c>
      <c r="I162" s="93" t="s">
        <v>81</v>
      </c>
      <c r="J162" s="93"/>
      <c r="K162" s="93"/>
      <c r="L162" s="93"/>
      <c r="M162" s="93" t="s">
        <v>61</v>
      </c>
      <c r="N162" s="93"/>
    </row>
    <row r="163" ht="18.0" customHeight="1">
      <c r="A163" s="99">
        <v>160.0</v>
      </c>
      <c r="B163" s="99"/>
      <c r="C163" s="99"/>
      <c r="D163" s="99"/>
      <c r="E163" s="99"/>
      <c r="F163" s="99"/>
      <c r="G163" s="99"/>
      <c r="H163" s="99" t="s">
        <v>545</v>
      </c>
      <c r="I163" s="99" t="s">
        <v>81</v>
      </c>
      <c r="J163" s="99"/>
      <c r="K163" s="99"/>
      <c r="L163" s="99"/>
      <c r="M163" s="99" t="s">
        <v>61</v>
      </c>
      <c r="N163" s="99"/>
    </row>
    <row r="164" ht="18.0" customHeight="1">
      <c r="A164" s="93">
        <v>161.0</v>
      </c>
      <c r="B164" s="93"/>
      <c r="C164" s="93"/>
      <c r="D164" s="93"/>
      <c r="E164" s="93"/>
      <c r="F164" s="93"/>
      <c r="G164" s="93"/>
      <c r="H164" s="93" t="s">
        <v>545</v>
      </c>
      <c r="I164" s="93" t="s">
        <v>81</v>
      </c>
      <c r="J164" s="93"/>
      <c r="K164" s="93"/>
      <c r="L164" s="93"/>
      <c r="M164" s="93" t="s">
        <v>61</v>
      </c>
      <c r="N164" s="93"/>
    </row>
    <row r="165" ht="18.0" customHeight="1">
      <c r="A165" s="99">
        <v>162.0</v>
      </c>
      <c r="B165" s="99"/>
      <c r="C165" s="99"/>
      <c r="D165" s="99"/>
      <c r="E165" s="99"/>
      <c r="F165" s="99"/>
      <c r="G165" s="99"/>
      <c r="H165" s="99" t="s">
        <v>545</v>
      </c>
      <c r="I165" s="99" t="s">
        <v>81</v>
      </c>
      <c r="J165" s="99"/>
      <c r="K165" s="99"/>
      <c r="L165" s="99"/>
      <c r="M165" s="99" t="s">
        <v>61</v>
      </c>
      <c r="N165" s="99"/>
    </row>
    <row r="166" ht="18.0" customHeight="1">
      <c r="A166" s="93">
        <v>163.0</v>
      </c>
      <c r="B166" s="93"/>
      <c r="C166" s="93"/>
      <c r="D166" s="93"/>
      <c r="E166" s="93"/>
      <c r="F166" s="93"/>
      <c r="G166" s="93"/>
      <c r="H166" s="93" t="s">
        <v>545</v>
      </c>
      <c r="I166" s="93" t="s">
        <v>81</v>
      </c>
      <c r="J166" s="93"/>
      <c r="K166" s="93"/>
      <c r="L166" s="93"/>
      <c r="M166" s="93" t="s">
        <v>61</v>
      </c>
      <c r="N166" s="93"/>
    </row>
    <row r="167" ht="18.0" customHeight="1">
      <c r="A167" s="99">
        <v>164.0</v>
      </c>
      <c r="B167" s="99"/>
      <c r="C167" s="99"/>
      <c r="D167" s="99"/>
      <c r="E167" s="99"/>
      <c r="F167" s="99"/>
      <c r="G167" s="99"/>
      <c r="H167" s="99" t="s">
        <v>545</v>
      </c>
      <c r="I167" s="99" t="s">
        <v>81</v>
      </c>
      <c r="J167" s="99"/>
      <c r="K167" s="99"/>
      <c r="L167" s="99"/>
      <c r="M167" s="99" t="s">
        <v>61</v>
      </c>
      <c r="N167" s="99"/>
    </row>
    <row r="168" ht="18.0" customHeight="1">
      <c r="A168" s="93">
        <v>165.0</v>
      </c>
      <c r="B168" s="93"/>
      <c r="C168" s="93"/>
      <c r="D168" s="93"/>
      <c r="E168" s="93"/>
      <c r="F168" s="93"/>
      <c r="G168" s="93"/>
      <c r="H168" s="93" t="s">
        <v>545</v>
      </c>
      <c r="I168" s="93" t="s">
        <v>81</v>
      </c>
      <c r="J168" s="93"/>
      <c r="K168" s="93"/>
      <c r="L168" s="93"/>
      <c r="M168" s="93" t="s">
        <v>61</v>
      </c>
      <c r="N168" s="93"/>
    </row>
    <row r="169" ht="18.0" customHeight="1">
      <c r="A169" s="99">
        <v>166.0</v>
      </c>
      <c r="B169" s="99"/>
      <c r="C169" s="99"/>
      <c r="D169" s="99"/>
      <c r="E169" s="99"/>
      <c r="F169" s="99"/>
      <c r="G169" s="99"/>
      <c r="H169" s="99" t="s">
        <v>545</v>
      </c>
      <c r="I169" s="99" t="s">
        <v>81</v>
      </c>
      <c r="J169" s="99"/>
      <c r="K169" s="99"/>
      <c r="L169" s="99"/>
      <c r="M169" s="99" t="s">
        <v>61</v>
      </c>
      <c r="N169" s="99"/>
    </row>
    <row r="170" ht="18.0" customHeight="1">
      <c r="A170" s="93">
        <v>167.0</v>
      </c>
      <c r="B170" s="93"/>
      <c r="C170" s="93"/>
      <c r="D170" s="93"/>
      <c r="E170" s="93"/>
      <c r="F170" s="93"/>
      <c r="G170" s="93"/>
      <c r="H170" s="93" t="s">
        <v>545</v>
      </c>
      <c r="I170" s="93" t="s">
        <v>81</v>
      </c>
      <c r="J170" s="93"/>
      <c r="K170" s="93"/>
      <c r="L170" s="93"/>
      <c r="M170" s="93" t="s">
        <v>61</v>
      </c>
      <c r="N170" s="93"/>
    </row>
    <row r="171" ht="18.0" customHeight="1">
      <c r="A171" s="99">
        <v>168.0</v>
      </c>
      <c r="B171" s="99"/>
      <c r="C171" s="99"/>
      <c r="D171" s="99"/>
      <c r="E171" s="99"/>
      <c r="F171" s="99"/>
      <c r="G171" s="99"/>
      <c r="H171" s="99" t="s">
        <v>545</v>
      </c>
      <c r="I171" s="99" t="s">
        <v>81</v>
      </c>
      <c r="J171" s="99"/>
      <c r="K171" s="99"/>
      <c r="L171" s="99"/>
      <c r="M171" s="99" t="s">
        <v>61</v>
      </c>
      <c r="N171" s="99"/>
    </row>
    <row r="172" ht="18.0" customHeight="1">
      <c r="A172" s="93">
        <v>169.0</v>
      </c>
      <c r="B172" s="93"/>
      <c r="C172" s="93"/>
      <c r="D172" s="93"/>
      <c r="E172" s="93"/>
      <c r="F172" s="93"/>
      <c r="G172" s="93"/>
      <c r="H172" s="93" t="s">
        <v>545</v>
      </c>
      <c r="I172" s="93" t="s">
        <v>81</v>
      </c>
      <c r="J172" s="93"/>
      <c r="K172" s="93"/>
      <c r="L172" s="93"/>
      <c r="M172" s="93" t="s">
        <v>61</v>
      </c>
      <c r="N172" s="93"/>
    </row>
    <row r="173" ht="18.0" customHeight="1">
      <c r="A173" s="99">
        <v>170.0</v>
      </c>
      <c r="B173" s="99"/>
      <c r="C173" s="99"/>
      <c r="D173" s="99"/>
      <c r="E173" s="99"/>
      <c r="F173" s="99"/>
      <c r="G173" s="99"/>
      <c r="H173" s="99" t="s">
        <v>545</v>
      </c>
      <c r="I173" s="99" t="s">
        <v>81</v>
      </c>
      <c r="J173" s="99"/>
      <c r="K173" s="99"/>
      <c r="L173" s="99"/>
      <c r="M173" s="99" t="s">
        <v>61</v>
      </c>
      <c r="N173" s="99"/>
    </row>
    <row r="174" ht="18.0" customHeight="1">
      <c r="A174" s="93">
        <v>171.0</v>
      </c>
      <c r="B174" s="93"/>
      <c r="C174" s="93"/>
      <c r="D174" s="93"/>
      <c r="E174" s="93"/>
      <c r="F174" s="93"/>
      <c r="G174" s="93"/>
      <c r="H174" s="93" t="s">
        <v>545</v>
      </c>
      <c r="I174" s="93" t="s">
        <v>81</v>
      </c>
      <c r="J174" s="93"/>
      <c r="K174" s="93"/>
      <c r="L174" s="93"/>
      <c r="M174" s="93" t="s">
        <v>61</v>
      </c>
      <c r="N174" s="93"/>
    </row>
    <row r="175" ht="18.0" customHeight="1">
      <c r="A175" s="99">
        <v>172.0</v>
      </c>
      <c r="B175" s="99"/>
      <c r="C175" s="99"/>
      <c r="D175" s="99"/>
      <c r="E175" s="99"/>
      <c r="F175" s="99"/>
      <c r="G175" s="99"/>
      <c r="H175" s="99" t="s">
        <v>545</v>
      </c>
      <c r="I175" s="99" t="s">
        <v>81</v>
      </c>
      <c r="J175" s="99"/>
      <c r="K175" s="99"/>
      <c r="L175" s="99"/>
      <c r="M175" s="99" t="s">
        <v>61</v>
      </c>
      <c r="N175" s="99"/>
    </row>
    <row r="176" ht="18.0" customHeight="1">
      <c r="A176" s="93">
        <v>173.0</v>
      </c>
      <c r="B176" s="93"/>
      <c r="C176" s="93"/>
      <c r="D176" s="93"/>
      <c r="E176" s="93"/>
      <c r="F176" s="93"/>
      <c r="G176" s="93"/>
      <c r="H176" s="93" t="s">
        <v>545</v>
      </c>
      <c r="I176" s="93" t="s">
        <v>81</v>
      </c>
      <c r="J176" s="93"/>
      <c r="K176" s="93"/>
      <c r="L176" s="93"/>
      <c r="M176" s="93" t="s">
        <v>61</v>
      </c>
      <c r="N176" s="93"/>
    </row>
    <row r="177" ht="18.0" customHeight="1">
      <c r="A177" s="99">
        <v>174.0</v>
      </c>
      <c r="B177" s="99"/>
      <c r="C177" s="99"/>
      <c r="D177" s="99"/>
      <c r="E177" s="99"/>
      <c r="F177" s="99"/>
      <c r="G177" s="99"/>
      <c r="H177" s="99" t="s">
        <v>545</v>
      </c>
      <c r="I177" s="99" t="s">
        <v>81</v>
      </c>
      <c r="J177" s="99"/>
      <c r="K177" s="99"/>
      <c r="L177" s="99"/>
      <c r="M177" s="99" t="s">
        <v>61</v>
      </c>
      <c r="N177" s="99"/>
    </row>
    <row r="178" ht="18.0" customHeight="1">
      <c r="A178" s="93">
        <v>175.0</v>
      </c>
      <c r="B178" s="93"/>
      <c r="C178" s="93"/>
      <c r="D178" s="93"/>
      <c r="E178" s="93"/>
      <c r="F178" s="93"/>
      <c r="G178" s="93"/>
      <c r="H178" s="93" t="s">
        <v>545</v>
      </c>
      <c r="I178" s="93" t="s">
        <v>81</v>
      </c>
      <c r="J178" s="93"/>
      <c r="K178" s="93"/>
      <c r="L178" s="93"/>
      <c r="M178" s="93" t="s">
        <v>61</v>
      </c>
      <c r="N178" s="93"/>
    </row>
    <row r="179" ht="18.0" customHeight="1">
      <c r="A179" s="99">
        <v>176.0</v>
      </c>
      <c r="B179" s="99"/>
      <c r="C179" s="99"/>
      <c r="D179" s="99"/>
      <c r="E179" s="99"/>
      <c r="F179" s="99"/>
      <c r="G179" s="99"/>
      <c r="H179" s="99" t="s">
        <v>545</v>
      </c>
      <c r="I179" s="99" t="s">
        <v>81</v>
      </c>
      <c r="J179" s="99"/>
      <c r="K179" s="99"/>
      <c r="L179" s="99"/>
      <c r="M179" s="99" t="s">
        <v>61</v>
      </c>
      <c r="N179" s="99"/>
    </row>
    <row r="180" ht="18.0" customHeight="1">
      <c r="A180" s="93">
        <v>177.0</v>
      </c>
      <c r="B180" s="93"/>
      <c r="C180" s="93"/>
      <c r="D180" s="93"/>
      <c r="E180" s="93"/>
      <c r="F180" s="93"/>
      <c r="G180" s="93"/>
      <c r="H180" s="93" t="s">
        <v>545</v>
      </c>
      <c r="I180" s="93" t="s">
        <v>81</v>
      </c>
      <c r="J180" s="93"/>
      <c r="K180" s="93"/>
      <c r="L180" s="93"/>
      <c r="M180" s="93" t="s">
        <v>61</v>
      </c>
      <c r="N180" s="93"/>
    </row>
    <row r="181" ht="18.0" customHeight="1">
      <c r="A181" s="99">
        <v>178.0</v>
      </c>
      <c r="B181" s="99"/>
      <c r="C181" s="99"/>
      <c r="D181" s="99"/>
      <c r="E181" s="99"/>
      <c r="F181" s="99"/>
      <c r="G181" s="99"/>
      <c r="H181" s="99" t="s">
        <v>545</v>
      </c>
      <c r="I181" s="99" t="s">
        <v>81</v>
      </c>
      <c r="J181" s="99"/>
      <c r="K181" s="99"/>
      <c r="L181" s="99"/>
      <c r="M181" s="99" t="s">
        <v>61</v>
      </c>
      <c r="N181" s="99"/>
    </row>
    <row r="182" ht="18.0" customHeight="1">
      <c r="A182" s="93">
        <v>179.0</v>
      </c>
      <c r="B182" s="93"/>
      <c r="C182" s="93"/>
      <c r="D182" s="93"/>
      <c r="E182" s="93"/>
      <c r="F182" s="93"/>
      <c r="G182" s="93"/>
      <c r="H182" s="93" t="s">
        <v>545</v>
      </c>
      <c r="I182" s="93" t="s">
        <v>81</v>
      </c>
      <c r="J182" s="93"/>
      <c r="K182" s="93"/>
      <c r="L182" s="93"/>
      <c r="M182" s="93" t="s">
        <v>61</v>
      </c>
      <c r="N182" s="93"/>
    </row>
    <row r="183" ht="18.0" customHeight="1">
      <c r="A183" s="99">
        <v>180.0</v>
      </c>
      <c r="B183" s="99"/>
      <c r="C183" s="99"/>
      <c r="D183" s="99"/>
      <c r="E183" s="99"/>
      <c r="F183" s="99"/>
      <c r="G183" s="99"/>
      <c r="H183" s="99" t="s">
        <v>545</v>
      </c>
      <c r="I183" s="99" t="s">
        <v>81</v>
      </c>
      <c r="J183" s="99"/>
      <c r="K183" s="99"/>
      <c r="L183" s="99"/>
      <c r="M183" s="99" t="s">
        <v>61</v>
      </c>
      <c r="N183" s="99"/>
    </row>
    <row r="184" ht="18.0" customHeight="1">
      <c r="A184" s="93">
        <v>181.0</v>
      </c>
      <c r="B184" s="93"/>
      <c r="C184" s="93"/>
      <c r="D184" s="93"/>
      <c r="E184" s="93"/>
      <c r="F184" s="93"/>
      <c r="G184" s="93"/>
      <c r="H184" s="93" t="s">
        <v>545</v>
      </c>
      <c r="I184" s="93" t="s">
        <v>81</v>
      </c>
      <c r="J184" s="93"/>
      <c r="K184" s="93"/>
      <c r="L184" s="93"/>
      <c r="M184" s="93" t="s">
        <v>61</v>
      </c>
      <c r="N184" s="93"/>
    </row>
    <row r="185" ht="18.0" customHeight="1">
      <c r="A185" s="99">
        <v>182.0</v>
      </c>
      <c r="B185" s="99"/>
      <c r="C185" s="99"/>
      <c r="D185" s="99"/>
      <c r="E185" s="99"/>
      <c r="F185" s="99"/>
      <c r="G185" s="99"/>
      <c r="H185" s="99" t="s">
        <v>545</v>
      </c>
      <c r="I185" s="99" t="s">
        <v>81</v>
      </c>
      <c r="J185" s="99"/>
      <c r="K185" s="99"/>
      <c r="L185" s="99"/>
      <c r="M185" s="99" t="s">
        <v>61</v>
      </c>
      <c r="N185" s="99"/>
    </row>
    <row r="186" ht="18.0" customHeight="1">
      <c r="A186" s="93">
        <v>183.0</v>
      </c>
      <c r="B186" s="93"/>
      <c r="C186" s="93"/>
      <c r="D186" s="93"/>
      <c r="E186" s="93"/>
      <c r="F186" s="93"/>
      <c r="G186" s="93"/>
      <c r="H186" s="93" t="s">
        <v>545</v>
      </c>
      <c r="I186" s="93" t="s">
        <v>81</v>
      </c>
      <c r="J186" s="93"/>
      <c r="K186" s="93"/>
      <c r="L186" s="93"/>
      <c r="M186" s="93" t="s">
        <v>61</v>
      </c>
      <c r="N186" s="93"/>
    </row>
    <row r="187" ht="18.0" customHeight="1">
      <c r="A187" s="99">
        <v>184.0</v>
      </c>
      <c r="B187" s="99"/>
      <c r="C187" s="99"/>
      <c r="D187" s="99"/>
      <c r="E187" s="99"/>
      <c r="F187" s="99"/>
      <c r="G187" s="99"/>
      <c r="H187" s="99" t="s">
        <v>545</v>
      </c>
      <c r="I187" s="99" t="s">
        <v>81</v>
      </c>
      <c r="J187" s="99"/>
      <c r="K187" s="99"/>
      <c r="L187" s="99"/>
      <c r="M187" s="99" t="s">
        <v>61</v>
      </c>
      <c r="N187" s="99"/>
    </row>
    <row r="188" ht="18.0" customHeight="1">
      <c r="A188" s="93">
        <v>185.0</v>
      </c>
      <c r="B188" s="93"/>
      <c r="C188" s="93"/>
      <c r="D188" s="93"/>
      <c r="E188" s="93"/>
      <c r="F188" s="93"/>
      <c r="G188" s="93"/>
      <c r="H188" s="93" t="s">
        <v>545</v>
      </c>
      <c r="I188" s="93" t="s">
        <v>81</v>
      </c>
      <c r="J188" s="93"/>
      <c r="K188" s="93"/>
      <c r="L188" s="93"/>
      <c r="M188" s="93" t="s">
        <v>61</v>
      </c>
      <c r="N188" s="93"/>
    </row>
    <row r="189" ht="18.0" customHeight="1">
      <c r="A189" s="99">
        <v>186.0</v>
      </c>
      <c r="B189" s="99"/>
      <c r="C189" s="99"/>
      <c r="D189" s="99"/>
      <c r="E189" s="99"/>
      <c r="F189" s="99"/>
      <c r="G189" s="99"/>
      <c r="H189" s="99" t="s">
        <v>545</v>
      </c>
      <c r="I189" s="99" t="s">
        <v>81</v>
      </c>
      <c r="J189" s="99"/>
      <c r="K189" s="99"/>
      <c r="L189" s="99"/>
      <c r="M189" s="99" t="s">
        <v>61</v>
      </c>
      <c r="N189" s="99"/>
    </row>
    <row r="190" ht="18.0" customHeight="1">
      <c r="A190" s="93">
        <v>187.0</v>
      </c>
      <c r="B190" s="93"/>
      <c r="C190" s="93"/>
      <c r="D190" s="93"/>
      <c r="E190" s="93"/>
      <c r="F190" s="93"/>
      <c r="G190" s="93"/>
      <c r="H190" s="93" t="s">
        <v>545</v>
      </c>
      <c r="I190" s="93" t="s">
        <v>81</v>
      </c>
      <c r="J190" s="93"/>
      <c r="K190" s="93"/>
      <c r="L190" s="93"/>
      <c r="M190" s="93" t="s">
        <v>61</v>
      </c>
      <c r="N190" s="93"/>
    </row>
    <row r="191" ht="18.0" customHeight="1">
      <c r="A191" s="99">
        <v>188.0</v>
      </c>
      <c r="B191" s="99"/>
      <c r="C191" s="99"/>
      <c r="D191" s="99"/>
      <c r="E191" s="99"/>
      <c r="F191" s="99"/>
      <c r="G191" s="99"/>
      <c r="H191" s="99" t="s">
        <v>545</v>
      </c>
      <c r="I191" s="99" t="s">
        <v>81</v>
      </c>
      <c r="J191" s="99"/>
      <c r="K191" s="99"/>
      <c r="L191" s="99"/>
      <c r="M191" s="99" t="s">
        <v>61</v>
      </c>
      <c r="N191" s="99"/>
    </row>
    <row r="192" ht="18.0" customHeight="1">
      <c r="A192" s="93">
        <v>189.0</v>
      </c>
      <c r="B192" s="93"/>
      <c r="C192" s="93"/>
      <c r="D192" s="93"/>
      <c r="E192" s="93"/>
      <c r="F192" s="93"/>
      <c r="G192" s="93"/>
      <c r="H192" s="93" t="s">
        <v>545</v>
      </c>
      <c r="I192" s="93" t="s">
        <v>81</v>
      </c>
      <c r="J192" s="93"/>
      <c r="K192" s="93"/>
      <c r="L192" s="93"/>
      <c r="M192" s="93" t="s">
        <v>61</v>
      </c>
      <c r="N192" s="93"/>
    </row>
    <row r="193" ht="18.0" customHeight="1">
      <c r="A193" s="99">
        <v>190.0</v>
      </c>
      <c r="B193" s="99"/>
      <c r="C193" s="99"/>
      <c r="D193" s="99"/>
      <c r="E193" s="99"/>
      <c r="F193" s="99"/>
      <c r="G193" s="99"/>
      <c r="H193" s="99" t="s">
        <v>545</v>
      </c>
      <c r="I193" s="99" t="s">
        <v>81</v>
      </c>
      <c r="J193" s="99"/>
      <c r="K193" s="99"/>
      <c r="L193" s="99"/>
      <c r="M193" s="99" t="s">
        <v>61</v>
      </c>
      <c r="N193" s="99"/>
    </row>
    <row r="194" ht="18.0" customHeight="1">
      <c r="A194" s="93">
        <v>191.0</v>
      </c>
      <c r="B194" s="93"/>
      <c r="C194" s="93"/>
      <c r="D194" s="93"/>
      <c r="E194" s="93"/>
      <c r="F194" s="93"/>
      <c r="G194" s="93"/>
      <c r="H194" s="93" t="s">
        <v>545</v>
      </c>
      <c r="I194" s="93" t="s">
        <v>81</v>
      </c>
      <c r="J194" s="93"/>
      <c r="K194" s="93"/>
      <c r="L194" s="93"/>
      <c r="M194" s="93" t="s">
        <v>61</v>
      </c>
      <c r="N194" s="93"/>
    </row>
    <row r="195" ht="18.0" customHeight="1">
      <c r="A195" s="99">
        <v>192.0</v>
      </c>
      <c r="B195" s="99"/>
      <c r="C195" s="99"/>
      <c r="D195" s="99"/>
      <c r="E195" s="99"/>
      <c r="F195" s="99"/>
      <c r="G195" s="99"/>
      <c r="H195" s="99" t="s">
        <v>545</v>
      </c>
      <c r="I195" s="99" t="s">
        <v>81</v>
      </c>
      <c r="J195" s="99"/>
      <c r="K195" s="99"/>
      <c r="L195" s="99"/>
      <c r="M195" s="99" t="s">
        <v>61</v>
      </c>
      <c r="N195" s="99"/>
    </row>
    <row r="196" ht="18.0" customHeight="1">
      <c r="A196" s="93">
        <v>193.0</v>
      </c>
      <c r="B196" s="93"/>
      <c r="C196" s="93"/>
      <c r="D196" s="93"/>
      <c r="E196" s="93"/>
      <c r="F196" s="93"/>
      <c r="G196" s="93"/>
      <c r="H196" s="93" t="s">
        <v>545</v>
      </c>
      <c r="I196" s="93" t="s">
        <v>81</v>
      </c>
      <c r="J196" s="93"/>
      <c r="K196" s="93"/>
      <c r="L196" s="93"/>
      <c r="M196" s="93" t="s">
        <v>61</v>
      </c>
      <c r="N196" s="93"/>
    </row>
    <row r="197" ht="18.0" customHeight="1">
      <c r="A197" s="99">
        <v>194.0</v>
      </c>
      <c r="B197" s="99"/>
      <c r="C197" s="99"/>
      <c r="D197" s="99"/>
      <c r="E197" s="99"/>
      <c r="F197" s="99"/>
      <c r="G197" s="99"/>
      <c r="H197" s="99" t="s">
        <v>545</v>
      </c>
      <c r="I197" s="99" t="s">
        <v>81</v>
      </c>
      <c r="J197" s="99"/>
      <c r="K197" s="99"/>
      <c r="L197" s="99"/>
      <c r="M197" s="99" t="s">
        <v>61</v>
      </c>
      <c r="N197" s="99"/>
    </row>
    <row r="198" ht="18.0" customHeight="1">
      <c r="A198" s="93">
        <v>195.0</v>
      </c>
      <c r="B198" s="93"/>
      <c r="C198" s="93"/>
      <c r="D198" s="93"/>
      <c r="E198" s="93"/>
      <c r="F198" s="93"/>
      <c r="G198" s="93"/>
      <c r="H198" s="93" t="s">
        <v>545</v>
      </c>
      <c r="I198" s="93" t="s">
        <v>81</v>
      </c>
      <c r="J198" s="93"/>
      <c r="K198" s="93"/>
      <c r="L198" s="93"/>
      <c r="M198" s="93" t="s">
        <v>61</v>
      </c>
      <c r="N198" s="93"/>
    </row>
    <row r="199" ht="18.0" customHeight="1">
      <c r="A199" s="99">
        <v>196.0</v>
      </c>
      <c r="B199" s="99"/>
      <c r="C199" s="99"/>
      <c r="D199" s="99"/>
      <c r="E199" s="99"/>
      <c r="F199" s="99"/>
      <c r="G199" s="99"/>
      <c r="H199" s="99" t="s">
        <v>545</v>
      </c>
      <c r="I199" s="99" t="s">
        <v>81</v>
      </c>
      <c r="J199" s="99"/>
      <c r="K199" s="99"/>
      <c r="L199" s="99"/>
      <c r="M199" s="99" t="s">
        <v>61</v>
      </c>
      <c r="N199" s="99"/>
    </row>
    <row r="200" ht="18.0" customHeight="1">
      <c r="A200" s="93">
        <v>197.0</v>
      </c>
      <c r="B200" s="93"/>
      <c r="C200" s="93"/>
      <c r="D200" s="93"/>
      <c r="E200" s="93"/>
      <c r="F200" s="93"/>
      <c r="G200" s="93"/>
      <c r="H200" s="93" t="s">
        <v>545</v>
      </c>
      <c r="I200" s="93" t="s">
        <v>81</v>
      </c>
      <c r="J200" s="93"/>
      <c r="K200" s="93"/>
      <c r="L200" s="93"/>
      <c r="M200" s="93" t="s">
        <v>61</v>
      </c>
      <c r="N200" s="93"/>
    </row>
    <row r="201" ht="18.0" customHeight="1">
      <c r="A201" s="99">
        <v>198.0</v>
      </c>
      <c r="B201" s="99"/>
      <c r="C201" s="99"/>
      <c r="D201" s="99"/>
      <c r="E201" s="99"/>
      <c r="F201" s="99"/>
      <c r="G201" s="99"/>
      <c r="H201" s="99" t="s">
        <v>545</v>
      </c>
      <c r="I201" s="99" t="s">
        <v>81</v>
      </c>
      <c r="J201" s="99"/>
      <c r="K201" s="99"/>
      <c r="L201" s="99"/>
      <c r="M201" s="99" t="s">
        <v>61</v>
      </c>
      <c r="N201" s="99"/>
    </row>
    <row r="202" ht="18.0" customHeight="1">
      <c r="A202" s="93">
        <v>199.0</v>
      </c>
      <c r="B202" s="93"/>
      <c r="C202" s="93"/>
      <c r="D202" s="93"/>
      <c r="E202" s="93"/>
      <c r="F202" s="93"/>
      <c r="G202" s="93"/>
      <c r="H202" s="93" t="s">
        <v>545</v>
      </c>
      <c r="I202" s="93" t="s">
        <v>81</v>
      </c>
      <c r="J202" s="93"/>
      <c r="K202" s="93"/>
      <c r="L202" s="93"/>
      <c r="M202" s="93" t="s">
        <v>61</v>
      </c>
      <c r="N202" s="93"/>
    </row>
    <row r="203" ht="18.0" customHeight="1">
      <c r="A203" s="99">
        <v>200.0</v>
      </c>
      <c r="B203" s="99"/>
      <c r="C203" s="99"/>
      <c r="D203" s="99"/>
      <c r="E203" s="99"/>
      <c r="F203" s="99"/>
      <c r="G203" s="99"/>
      <c r="H203" s="99" t="s">
        <v>545</v>
      </c>
      <c r="I203" s="99" t="s">
        <v>81</v>
      </c>
      <c r="J203" s="99"/>
      <c r="K203" s="99"/>
      <c r="L203" s="99"/>
      <c r="M203" s="99" t="s">
        <v>61</v>
      </c>
      <c r="N203" s="99"/>
    </row>
    <row r="204" ht="18.0" customHeight="1">
      <c r="A204" s="93">
        <v>201.0</v>
      </c>
      <c r="B204" s="93"/>
      <c r="C204" s="93"/>
      <c r="D204" s="93"/>
      <c r="E204" s="93"/>
      <c r="F204" s="93"/>
      <c r="G204" s="93"/>
      <c r="H204" s="93" t="s">
        <v>545</v>
      </c>
      <c r="I204" s="93" t="s">
        <v>81</v>
      </c>
      <c r="J204" s="93"/>
      <c r="K204" s="93"/>
      <c r="L204" s="93"/>
      <c r="M204" s="93" t="s">
        <v>61</v>
      </c>
      <c r="N204" s="93"/>
    </row>
    <row r="205" ht="18.0" customHeight="1">
      <c r="A205" s="99">
        <v>202.0</v>
      </c>
      <c r="B205" s="99"/>
      <c r="C205" s="99"/>
      <c r="D205" s="99"/>
      <c r="E205" s="99"/>
      <c r="F205" s="99"/>
      <c r="G205" s="99"/>
      <c r="H205" s="99" t="s">
        <v>545</v>
      </c>
      <c r="I205" s="99" t="s">
        <v>81</v>
      </c>
      <c r="J205" s="99"/>
      <c r="K205" s="99"/>
      <c r="L205" s="99"/>
      <c r="M205" s="99" t="s">
        <v>61</v>
      </c>
      <c r="N205" s="99"/>
    </row>
    <row r="206" ht="18.0" customHeight="1">
      <c r="A206" s="93">
        <v>203.0</v>
      </c>
      <c r="B206" s="93"/>
      <c r="C206" s="93"/>
      <c r="D206" s="93"/>
      <c r="E206" s="93"/>
      <c r="F206" s="93"/>
      <c r="G206" s="93"/>
      <c r="H206" s="93" t="s">
        <v>545</v>
      </c>
      <c r="I206" s="93" t="s">
        <v>81</v>
      </c>
      <c r="J206" s="93"/>
      <c r="K206" s="93"/>
      <c r="L206" s="93"/>
      <c r="M206" s="93" t="s">
        <v>61</v>
      </c>
      <c r="N206" s="93"/>
    </row>
    <row r="207" ht="18.0" customHeight="1">
      <c r="A207" s="99">
        <v>204.0</v>
      </c>
      <c r="B207" s="99"/>
      <c r="C207" s="99"/>
      <c r="D207" s="99"/>
      <c r="E207" s="99"/>
      <c r="F207" s="99"/>
      <c r="G207" s="99"/>
      <c r="H207" s="99" t="s">
        <v>545</v>
      </c>
      <c r="I207" s="99" t="s">
        <v>81</v>
      </c>
      <c r="J207" s="99"/>
      <c r="K207" s="99"/>
      <c r="L207" s="99"/>
      <c r="M207" s="99" t="s">
        <v>61</v>
      </c>
      <c r="N207" s="99"/>
    </row>
    <row r="208" ht="18.0" customHeight="1">
      <c r="A208" s="93">
        <v>205.0</v>
      </c>
      <c r="B208" s="93"/>
      <c r="C208" s="93"/>
      <c r="D208" s="93"/>
      <c r="E208" s="93"/>
      <c r="F208" s="93"/>
      <c r="G208" s="93"/>
      <c r="H208" s="93" t="s">
        <v>545</v>
      </c>
      <c r="I208" s="93" t="s">
        <v>81</v>
      </c>
      <c r="J208" s="93"/>
      <c r="K208" s="93"/>
      <c r="L208" s="93"/>
      <c r="M208" s="93" t="s">
        <v>61</v>
      </c>
      <c r="N208" s="93"/>
    </row>
    <row r="209" ht="18.0" customHeight="1">
      <c r="A209" s="99">
        <v>206.0</v>
      </c>
      <c r="B209" s="99"/>
      <c r="C209" s="99"/>
      <c r="D209" s="99"/>
      <c r="E209" s="99"/>
      <c r="F209" s="99"/>
      <c r="G209" s="99"/>
      <c r="H209" s="99" t="s">
        <v>545</v>
      </c>
      <c r="I209" s="99" t="s">
        <v>81</v>
      </c>
      <c r="J209" s="99"/>
      <c r="K209" s="99"/>
      <c r="L209" s="99"/>
      <c r="M209" s="99" t="s">
        <v>61</v>
      </c>
      <c r="N209" s="99"/>
    </row>
    <row r="210" ht="18.0" customHeight="1">
      <c r="A210" s="93">
        <v>207.0</v>
      </c>
      <c r="B210" s="93"/>
      <c r="C210" s="93"/>
      <c r="D210" s="93"/>
      <c r="E210" s="93"/>
      <c r="F210" s="93"/>
      <c r="G210" s="93"/>
      <c r="H210" s="93" t="s">
        <v>545</v>
      </c>
      <c r="I210" s="93" t="s">
        <v>81</v>
      </c>
      <c r="J210" s="93"/>
      <c r="K210" s="93"/>
      <c r="L210" s="93"/>
      <c r="M210" s="93" t="s">
        <v>61</v>
      </c>
      <c r="N210" s="93"/>
    </row>
    <row r="211" ht="18.0" customHeight="1">
      <c r="A211" s="99">
        <v>208.0</v>
      </c>
      <c r="B211" s="99"/>
      <c r="C211" s="99"/>
      <c r="D211" s="99"/>
      <c r="E211" s="99"/>
      <c r="F211" s="99"/>
      <c r="G211" s="99"/>
      <c r="H211" s="99" t="s">
        <v>545</v>
      </c>
      <c r="I211" s="99" t="s">
        <v>81</v>
      </c>
      <c r="J211" s="99"/>
      <c r="K211" s="99"/>
      <c r="L211" s="99"/>
      <c r="M211" s="99" t="s">
        <v>61</v>
      </c>
      <c r="N211" s="99"/>
    </row>
    <row r="212" ht="18.0" customHeight="1">
      <c r="A212" s="93">
        <v>209.0</v>
      </c>
      <c r="B212" s="93"/>
      <c r="C212" s="93"/>
      <c r="D212" s="93"/>
      <c r="E212" s="93"/>
      <c r="F212" s="93"/>
      <c r="G212" s="93"/>
      <c r="H212" s="93" t="s">
        <v>545</v>
      </c>
      <c r="I212" s="93" t="s">
        <v>81</v>
      </c>
      <c r="J212" s="93"/>
      <c r="K212" s="93"/>
      <c r="L212" s="93"/>
      <c r="M212" s="93" t="s">
        <v>61</v>
      </c>
      <c r="N212" s="93"/>
    </row>
    <row r="213" ht="18.0" customHeight="1">
      <c r="A213" s="99">
        <v>210.0</v>
      </c>
      <c r="B213" s="99"/>
      <c r="C213" s="99"/>
      <c r="D213" s="99"/>
      <c r="E213" s="99"/>
      <c r="F213" s="99"/>
      <c r="G213" s="99"/>
      <c r="H213" s="99" t="s">
        <v>545</v>
      </c>
      <c r="I213" s="99" t="s">
        <v>81</v>
      </c>
      <c r="J213" s="99"/>
      <c r="K213" s="99"/>
      <c r="L213" s="99"/>
      <c r="M213" s="99" t="s">
        <v>61</v>
      </c>
      <c r="N213" s="99"/>
    </row>
    <row r="214" ht="18.0" customHeight="1">
      <c r="A214" s="93">
        <v>211.0</v>
      </c>
      <c r="B214" s="93"/>
      <c r="C214" s="93"/>
      <c r="D214" s="93"/>
      <c r="E214" s="93"/>
      <c r="F214" s="93"/>
      <c r="G214" s="93"/>
      <c r="H214" s="93" t="s">
        <v>545</v>
      </c>
      <c r="I214" s="93" t="s">
        <v>81</v>
      </c>
      <c r="J214" s="93"/>
      <c r="K214" s="93"/>
      <c r="L214" s="93"/>
      <c r="M214" s="93" t="s">
        <v>61</v>
      </c>
      <c r="N214" s="93"/>
    </row>
    <row r="215" ht="18.0" customHeight="1">
      <c r="A215" s="99">
        <v>212.0</v>
      </c>
      <c r="B215" s="99"/>
      <c r="C215" s="99"/>
      <c r="D215" s="99"/>
      <c r="E215" s="99"/>
      <c r="F215" s="99"/>
      <c r="G215" s="99"/>
      <c r="H215" s="99" t="s">
        <v>545</v>
      </c>
      <c r="I215" s="99" t="s">
        <v>81</v>
      </c>
      <c r="J215" s="99"/>
      <c r="K215" s="99"/>
      <c r="L215" s="99"/>
      <c r="M215" s="99" t="s">
        <v>61</v>
      </c>
      <c r="N215" s="99"/>
    </row>
    <row r="216" ht="18.0" customHeight="1">
      <c r="A216" s="93">
        <v>213.0</v>
      </c>
      <c r="B216" s="93"/>
      <c r="C216" s="93"/>
      <c r="D216" s="93"/>
      <c r="E216" s="93"/>
      <c r="F216" s="93"/>
      <c r="G216" s="93"/>
      <c r="H216" s="93" t="s">
        <v>545</v>
      </c>
      <c r="I216" s="93" t="s">
        <v>81</v>
      </c>
      <c r="J216" s="93"/>
      <c r="K216" s="93"/>
      <c r="L216" s="93"/>
      <c r="M216" s="93" t="s">
        <v>61</v>
      </c>
      <c r="N216" s="93"/>
    </row>
    <row r="217" ht="18.0" customHeight="1">
      <c r="A217" s="99">
        <v>214.0</v>
      </c>
      <c r="B217" s="99"/>
      <c r="C217" s="99"/>
      <c r="D217" s="99"/>
      <c r="E217" s="99"/>
      <c r="F217" s="99"/>
      <c r="G217" s="99"/>
      <c r="H217" s="99" t="s">
        <v>545</v>
      </c>
      <c r="I217" s="99" t="s">
        <v>81</v>
      </c>
      <c r="J217" s="99"/>
      <c r="K217" s="99"/>
      <c r="L217" s="99"/>
      <c r="M217" s="99" t="s">
        <v>61</v>
      </c>
      <c r="N217" s="99"/>
    </row>
    <row r="218" ht="18.0" customHeight="1">
      <c r="A218" s="93">
        <v>215.0</v>
      </c>
      <c r="B218" s="93"/>
      <c r="C218" s="93"/>
      <c r="D218" s="93"/>
      <c r="E218" s="93"/>
      <c r="F218" s="93"/>
      <c r="G218" s="93"/>
      <c r="H218" s="93" t="s">
        <v>545</v>
      </c>
      <c r="I218" s="93" t="s">
        <v>81</v>
      </c>
      <c r="J218" s="93"/>
      <c r="K218" s="93"/>
      <c r="L218" s="93"/>
      <c r="M218" s="93" t="s">
        <v>61</v>
      </c>
      <c r="N218" s="93"/>
    </row>
    <row r="219" ht="18.0" customHeight="1">
      <c r="A219" s="99">
        <v>216.0</v>
      </c>
      <c r="B219" s="99"/>
      <c r="C219" s="99"/>
      <c r="D219" s="99"/>
      <c r="E219" s="99"/>
      <c r="F219" s="99"/>
      <c r="G219" s="99"/>
      <c r="H219" s="99" t="s">
        <v>545</v>
      </c>
      <c r="I219" s="99" t="s">
        <v>81</v>
      </c>
      <c r="J219" s="99"/>
      <c r="K219" s="99"/>
      <c r="L219" s="99"/>
      <c r="M219" s="99" t="s">
        <v>61</v>
      </c>
      <c r="N219" s="99"/>
    </row>
    <row r="220" ht="18.0" customHeight="1">
      <c r="A220" s="93">
        <v>217.0</v>
      </c>
      <c r="B220" s="93"/>
      <c r="C220" s="93"/>
      <c r="D220" s="93"/>
      <c r="E220" s="93"/>
      <c r="F220" s="93"/>
      <c r="G220" s="93"/>
      <c r="H220" s="93" t="s">
        <v>545</v>
      </c>
      <c r="I220" s="93" t="s">
        <v>81</v>
      </c>
      <c r="J220" s="93"/>
      <c r="K220" s="93"/>
      <c r="L220" s="93"/>
      <c r="M220" s="93" t="s">
        <v>61</v>
      </c>
      <c r="N220" s="93"/>
    </row>
    <row r="221" ht="18.0" customHeight="1">
      <c r="A221" s="99">
        <v>218.0</v>
      </c>
      <c r="B221" s="99"/>
      <c r="C221" s="99"/>
      <c r="D221" s="99"/>
      <c r="E221" s="99"/>
      <c r="F221" s="99"/>
      <c r="G221" s="99"/>
      <c r="H221" s="99" t="s">
        <v>545</v>
      </c>
      <c r="I221" s="99" t="s">
        <v>81</v>
      </c>
      <c r="J221" s="99"/>
      <c r="K221" s="99"/>
      <c r="L221" s="99"/>
      <c r="M221" s="99" t="s">
        <v>61</v>
      </c>
      <c r="N221" s="99"/>
    </row>
    <row r="222" ht="18.0" customHeight="1">
      <c r="A222" s="93">
        <v>219.0</v>
      </c>
      <c r="B222" s="93"/>
      <c r="C222" s="93"/>
      <c r="D222" s="93"/>
      <c r="E222" s="93"/>
      <c r="F222" s="93"/>
      <c r="G222" s="93"/>
      <c r="H222" s="93" t="s">
        <v>545</v>
      </c>
      <c r="I222" s="93" t="s">
        <v>81</v>
      </c>
      <c r="J222" s="93"/>
      <c r="K222" s="93"/>
      <c r="L222" s="93"/>
      <c r="M222" s="93" t="s">
        <v>61</v>
      </c>
      <c r="N222" s="93"/>
    </row>
    <row r="223" ht="18.0" customHeight="1">
      <c r="A223" s="99">
        <v>220.0</v>
      </c>
      <c r="B223" s="99"/>
      <c r="C223" s="99"/>
      <c r="D223" s="99"/>
      <c r="E223" s="99"/>
      <c r="F223" s="99"/>
      <c r="G223" s="99"/>
      <c r="H223" s="99" t="s">
        <v>545</v>
      </c>
      <c r="I223" s="99" t="s">
        <v>81</v>
      </c>
      <c r="J223" s="99"/>
      <c r="K223" s="99"/>
      <c r="L223" s="99"/>
      <c r="M223" s="99" t="s">
        <v>61</v>
      </c>
      <c r="N223" s="99"/>
    </row>
    <row r="224" ht="18.0" customHeight="1">
      <c r="A224" s="93">
        <v>221.0</v>
      </c>
      <c r="B224" s="93"/>
      <c r="C224" s="93"/>
      <c r="D224" s="93"/>
      <c r="E224" s="93"/>
      <c r="F224" s="93"/>
      <c r="G224" s="93"/>
      <c r="H224" s="93" t="s">
        <v>545</v>
      </c>
      <c r="I224" s="93" t="s">
        <v>81</v>
      </c>
      <c r="J224" s="93"/>
      <c r="K224" s="93"/>
      <c r="L224" s="93"/>
      <c r="M224" s="93" t="s">
        <v>61</v>
      </c>
      <c r="N224" s="93"/>
    </row>
    <row r="225" ht="18.0" customHeight="1">
      <c r="A225" s="99">
        <v>222.0</v>
      </c>
      <c r="B225" s="99"/>
      <c r="C225" s="99"/>
      <c r="D225" s="99"/>
      <c r="E225" s="99"/>
      <c r="F225" s="99"/>
      <c r="G225" s="99"/>
      <c r="H225" s="99" t="s">
        <v>545</v>
      </c>
      <c r="I225" s="99" t="s">
        <v>81</v>
      </c>
      <c r="J225" s="99"/>
      <c r="K225" s="99"/>
      <c r="L225" s="99"/>
      <c r="M225" s="99" t="s">
        <v>61</v>
      </c>
      <c r="N225" s="99"/>
    </row>
    <row r="226" ht="18.0" customHeight="1">
      <c r="A226" s="93">
        <v>223.0</v>
      </c>
      <c r="B226" s="93"/>
      <c r="C226" s="93"/>
      <c r="D226" s="93"/>
      <c r="E226" s="93"/>
      <c r="F226" s="93"/>
      <c r="G226" s="93"/>
      <c r="H226" s="93" t="s">
        <v>545</v>
      </c>
      <c r="I226" s="93" t="s">
        <v>81</v>
      </c>
      <c r="J226" s="93"/>
      <c r="K226" s="93"/>
      <c r="L226" s="93"/>
      <c r="M226" s="93" t="s">
        <v>61</v>
      </c>
      <c r="N226" s="93"/>
    </row>
    <row r="227" ht="18.0" customHeight="1">
      <c r="A227" s="99">
        <v>224.0</v>
      </c>
      <c r="B227" s="99"/>
      <c r="C227" s="99"/>
      <c r="D227" s="99"/>
      <c r="E227" s="99"/>
      <c r="F227" s="99"/>
      <c r="G227" s="99"/>
      <c r="H227" s="99" t="s">
        <v>545</v>
      </c>
      <c r="I227" s="99" t="s">
        <v>81</v>
      </c>
      <c r="J227" s="99"/>
      <c r="K227" s="99"/>
      <c r="L227" s="99"/>
      <c r="M227" s="99" t="s">
        <v>61</v>
      </c>
      <c r="N227" s="99"/>
    </row>
    <row r="228" ht="18.0" customHeight="1">
      <c r="A228" s="93">
        <v>225.0</v>
      </c>
      <c r="B228" s="93"/>
      <c r="C228" s="93"/>
      <c r="D228" s="93"/>
      <c r="E228" s="93"/>
      <c r="F228" s="93"/>
      <c r="G228" s="93"/>
      <c r="H228" s="93" t="s">
        <v>545</v>
      </c>
      <c r="I228" s="93" t="s">
        <v>81</v>
      </c>
      <c r="J228" s="93"/>
      <c r="K228" s="93"/>
      <c r="L228" s="93"/>
      <c r="M228" s="93" t="s">
        <v>61</v>
      </c>
      <c r="N228" s="93"/>
    </row>
    <row r="229" ht="18.0" customHeight="1">
      <c r="A229" s="99">
        <v>226.0</v>
      </c>
      <c r="B229" s="99"/>
      <c r="C229" s="99"/>
      <c r="D229" s="99"/>
      <c r="E229" s="99"/>
      <c r="F229" s="99"/>
      <c r="G229" s="99"/>
      <c r="H229" s="99" t="s">
        <v>545</v>
      </c>
      <c r="I229" s="99" t="s">
        <v>81</v>
      </c>
      <c r="J229" s="99"/>
      <c r="K229" s="99"/>
      <c r="L229" s="99"/>
      <c r="M229" s="99" t="s">
        <v>61</v>
      </c>
      <c r="N229" s="99"/>
    </row>
    <row r="230" ht="18.0" customHeight="1">
      <c r="A230" s="93">
        <v>227.0</v>
      </c>
      <c r="B230" s="93"/>
      <c r="C230" s="93"/>
      <c r="D230" s="93"/>
      <c r="E230" s="93"/>
      <c r="F230" s="93"/>
      <c r="G230" s="93"/>
      <c r="H230" s="93" t="s">
        <v>545</v>
      </c>
      <c r="I230" s="93" t="s">
        <v>81</v>
      </c>
      <c r="J230" s="93"/>
      <c r="K230" s="93"/>
      <c r="L230" s="93"/>
      <c r="M230" s="93" t="s">
        <v>61</v>
      </c>
      <c r="N230" s="93"/>
    </row>
    <row r="231" ht="18.0" customHeight="1">
      <c r="A231" s="99">
        <v>228.0</v>
      </c>
      <c r="B231" s="99"/>
      <c r="C231" s="99"/>
      <c r="D231" s="99"/>
      <c r="E231" s="99"/>
      <c r="F231" s="99"/>
      <c r="G231" s="99"/>
      <c r="H231" s="99" t="s">
        <v>545</v>
      </c>
      <c r="I231" s="99" t="s">
        <v>81</v>
      </c>
      <c r="J231" s="99"/>
      <c r="K231" s="99"/>
      <c r="L231" s="99"/>
      <c r="M231" s="99" t="s">
        <v>61</v>
      </c>
      <c r="N231" s="99"/>
    </row>
    <row r="232" ht="18.0" customHeight="1">
      <c r="A232" s="93">
        <v>229.0</v>
      </c>
      <c r="B232" s="93"/>
      <c r="C232" s="93"/>
      <c r="D232" s="93"/>
      <c r="E232" s="93"/>
      <c r="F232" s="93"/>
      <c r="G232" s="93"/>
      <c r="H232" s="93" t="s">
        <v>545</v>
      </c>
      <c r="I232" s="93" t="s">
        <v>81</v>
      </c>
      <c r="J232" s="93"/>
      <c r="K232" s="93"/>
      <c r="L232" s="93"/>
      <c r="M232" s="93" t="s">
        <v>61</v>
      </c>
      <c r="N232" s="93"/>
    </row>
    <row r="233" ht="18.0" customHeight="1">
      <c r="A233" s="99">
        <v>230.0</v>
      </c>
      <c r="B233" s="99"/>
      <c r="C233" s="99"/>
      <c r="D233" s="99"/>
      <c r="E233" s="99"/>
      <c r="F233" s="99"/>
      <c r="G233" s="99"/>
      <c r="H233" s="99" t="s">
        <v>545</v>
      </c>
      <c r="I233" s="99" t="s">
        <v>81</v>
      </c>
      <c r="J233" s="99"/>
      <c r="K233" s="99"/>
      <c r="L233" s="99"/>
      <c r="M233" s="99" t="s">
        <v>61</v>
      </c>
      <c r="N233" s="99"/>
    </row>
    <row r="234" ht="18.0" customHeight="1">
      <c r="A234" s="93">
        <v>231.0</v>
      </c>
      <c r="B234" s="93"/>
      <c r="C234" s="93"/>
      <c r="D234" s="93"/>
      <c r="E234" s="93"/>
      <c r="F234" s="93"/>
      <c r="G234" s="93"/>
      <c r="H234" s="93" t="s">
        <v>545</v>
      </c>
      <c r="I234" s="93" t="s">
        <v>81</v>
      </c>
      <c r="J234" s="93"/>
      <c r="K234" s="93"/>
      <c r="L234" s="93"/>
      <c r="M234" s="93" t="s">
        <v>61</v>
      </c>
      <c r="N234" s="93"/>
    </row>
    <row r="235" ht="18.0" customHeight="1">
      <c r="A235" s="99">
        <v>232.0</v>
      </c>
      <c r="B235" s="99"/>
      <c r="C235" s="99"/>
      <c r="D235" s="99"/>
      <c r="E235" s="99"/>
      <c r="F235" s="99"/>
      <c r="G235" s="99"/>
      <c r="H235" s="99" t="s">
        <v>545</v>
      </c>
      <c r="I235" s="99" t="s">
        <v>81</v>
      </c>
      <c r="J235" s="99"/>
      <c r="K235" s="99"/>
      <c r="L235" s="99"/>
      <c r="M235" s="99" t="s">
        <v>61</v>
      </c>
      <c r="N235" s="99"/>
    </row>
    <row r="236" ht="18.0" customHeight="1">
      <c r="A236" s="93">
        <v>233.0</v>
      </c>
      <c r="B236" s="93"/>
      <c r="C236" s="93"/>
      <c r="D236" s="93"/>
      <c r="E236" s="93"/>
      <c r="F236" s="93"/>
      <c r="G236" s="93"/>
      <c r="H236" s="93" t="s">
        <v>545</v>
      </c>
      <c r="I236" s="93" t="s">
        <v>81</v>
      </c>
      <c r="J236" s="93"/>
      <c r="K236" s="93"/>
      <c r="L236" s="93"/>
      <c r="M236" s="93" t="s">
        <v>61</v>
      </c>
      <c r="N236" s="93"/>
    </row>
    <row r="237" ht="18.0" customHeight="1">
      <c r="A237" s="99">
        <v>234.0</v>
      </c>
      <c r="B237" s="99"/>
      <c r="C237" s="99"/>
      <c r="D237" s="99"/>
      <c r="E237" s="99"/>
      <c r="F237" s="99"/>
      <c r="G237" s="99"/>
      <c r="H237" s="99" t="s">
        <v>545</v>
      </c>
      <c r="I237" s="99" t="s">
        <v>81</v>
      </c>
      <c r="J237" s="99"/>
      <c r="K237" s="99"/>
      <c r="L237" s="99"/>
      <c r="M237" s="99" t="s">
        <v>61</v>
      </c>
      <c r="N237" s="99"/>
    </row>
    <row r="238" ht="18.0" customHeight="1">
      <c r="A238" s="93">
        <v>235.0</v>
      </c>
      <c r="B238" s="93"/>
      <c r="C238" s="93"/>
      <c r="D238" s="93"/>
      <c r="E238" s="93"/>
      <c r="F238" s="93"/>
      <c r="G238" s="93"/>
      <c r="H238" s="93" t="s">
        <v>545</v>
      </c>
      <c r="I238" s="93" t="s">
        <v>81</v>
      </c>
      <c r="J238" s="93"/>
      <c r="K238" s="93"/>
      <c r="L238" s="93"/>
      <c r="M238" s="93" t="s">
        <v>61</v>
      </c>
      <c r="N238" s="93"/>
    </row>
    <row r="239" ht="18.0" customHeight="1">
      <c r="A239" s="99">
        <v>236.0</v>
      </c>
      <c r="B239" s="99"/>
      <c r="C239" s="99"/>
      <c r="D239" s="99"/>
      <c r="E239" s="99"/>
      <c r="F239" s="99"/>
      <c r="G239" s="99"/>
      <c r="H239" s="99" t="s">
        <v>545</v>
      </c>
      <c r="I239" s="99" t="s">
        <v>81</v>
      </c>
      <c r="J239" s="99"/>
      <c r="K239" s="99"/>
      <c r="L239" s="99"/>
      <c r="M239" s="99" t="s">
        <v>61</v>
      </c>
      <c r="N239" s="99"/>
    </row>
    <row r="240" ht="18.0" customHeight="1">
      <c r="A240" s="93">
        <v>237.0</v>
      </c>
      <c r="B240" s="93"/>
      <c r="C240" s="93"/>
      <c r="D240" s="93"/>
      <c r="E240" s="93"/>
      <c r="F240" s="93"/>
      <c r="G240" s="93"/>
      <c r="H240" s="93" t="s">
        <v>545</v>
      </c>
      <c r="I240" s="93" t="s">
        <v>81</v>
      </c>
      <c r="J240" s="93"/>
      <c r="K240" s="93"/>
      <c r="L240" s="93"/>
      <c r="M240" s="93" t="s">
        <v>61</v>
      </c>
      <c r="N240" s="93"/>
    </row>
    <row r="241" ht="18.0" customHeight="1">
      <c r="A241" s="99">
        <v>238.0</v>
      </c>
      <c r="B241" s="99"/>
      <c r="C241" s="99"/>
      <c r="D241" s="99"/>
      <c r="E241" s="99"/>
      <c r="F241" s="99"/>
      <c r="G241" s="99"/>
      <c r="H241" s="99" t="s">
        <v>545</v>
      </c>
      <c r="I241" s="99" t="s">
        <v>81</v>
      </c>
      <c r="J241" s="99"/>
      <c r="K241" s="99"/>
      <c r="L241" s="99"/>
      <c r="M241" s="99" t="s">
        <v>61</v>
      </c>
      <c r="N241" s="99"/>
    </row>
    <row r="242" ht="18.0" customHeight="1">
      <c r="A242" s="93">
        <v>239.0</v>
      </c>
      <c r="B242" s="93"/>
      <c r="C242" s="93"/>
      <c r="D242" s="93"/>
      <c r="E242" s="93"/>
      <c r="F242" s="93"/>
      <c r="G242" s="93"/>
      <c r="H242" s="93" t="s">
        <v>545</v>
      </c>
      <c r="I242" s="93" t="s">
        <v>81</v>
      </c>
      <c r="J242" s="93"/>
      <c r="K242" s="93"/>
      <c r="L242" s="93"/>
      <c r="M242" s="93" t="s">
        <v>61</v>
      </c>
      <c r="N242" s="93"/>
    </row>
    <row r="243" ht="18.0" customHeight="1">
      <c r="A243" s="99">
        <v>240.0</v>
      </c>
      <c r="B243" s="99"/>
      <c r="C243" s="99"/>
      <c r="D243" s="99"/>
      <c r="E243" s="99"/>
      <c r="F243" s="99"/>
      <c r="G243" s="99"/>
      <c r="H243" s="99" t="s">
        <v>545</v>
      </c>
      <c r="I243" s="99" t="s">
        <v>81</v>
      </c>
      <c r="J243" s="99"/>
      <c r="K243" s="99"/>
      <c r="L243" s="99"/>
      <c r="M243" s="99" t="s">
        <v>61</v>
      </c>
      <c r="N243" s="99"/>
    </row>
    <row r="244" ht="18.0" customHeight="1">
      <c r="A244" s="93">
        <v>241.0</v>
      </c>
      <c r="B244" s="93"/>
      <c r="C244" s="93"/>
      <c r="D244" s="93"/>
      <c r="E244" s="93"/>
      <c r="F244" s="93"/>
      <c r="G244" s="93"/>
      <c r="H244" s="93" t="s">
        <v>545</v>
      </c>
      <c r="I244" s="93" t="s">
        <v>81</v>
      </c>
      <c r="J244" s="93"/>
      <c r="K244" s="93"/>
      <c r="L244" s="93"/>
      <c r="M244" s="93" t="s">
        <v>61</v>
      </c>
      <c r="N244" s="93"/>
    </row>
    <row r="245" ht="18.0" customHeight="1">
      <c r="A245" s="99">
        <v>242.0</v>
      </c>
      <c r="B245" s="99"/>
      <c r="C245" s="99"/>
      <c r="D245" s="99"/>
      <c r="E245" s="99"/>
      <c r="F245" s="99"/>
      <c r="G245" s="99"/>
      <c r="H245" s="99" t="s">
        <v>545</v>
      </c>
      <c r="I245" s="99" t="s">
        <v>81</v>
      </c>
      <c r="J245" s="99"/>
      <c r="K245" s="99"/>
      <c r="L245" s="99"/>
      <c r="M245" s="99" t="s">
        <v>61</v>
      </c>
      <c r="N245" s="99"/>
    </row>
    <row r="246" ht="18.0" customHeight="1">
      <c r="A246" s="93">
        <v>243.0</v>
      </c>
      <c r="B246" s="93"/>
      <c r="C246" s="93"/>
      <c r="D246" s="93"/>
      <c r="E246" s="93"/>
      <c r="F246" s="93"/>
      <c r="G246" s="93"/>
      <c r="H246" s="93" t="s">
        <v>545</v>
      </c>
      <c r="I246" s="93" t="s">
        <v>81</v>
      </c>
      <c r="J246" s="93"/>
      <c r="K246" s="93"/>
      <c r="L246" s="93"/>
      <c r="M246" s="93" t="s">
        <v>61</v>
      </c>
      <c r="N246" s="93"/>
    </row>
    <row r="247" ht="18.0" customHeight="1">
      <c r="A247" s="99">
        <v>244.0</v>
      </c>
      <c r="B247" s="99"/>
      <c r="C247" s="99"/>
      <c r="D247" s="99"/>
      <c r="E247" s="99"/>
      <c r="F247" s="99"/>
      <c r="G247" s="99"/>
      <c r="H247" s="99" t="s">
        <v>545</v>
      </c>
      <c r="I247" s="99" t="s">
        <v>81</v>
      </c>
      <c r="J247" s="99"/>
      <c r="K247" s="99"/>
      <c r="L247" s="99"/>
      <c r="M247" s="99" t="s">
        <v>61</v>
      </c>
      <c r="N247" s="99"/>
    </row>
    <row r="248" ht="18.0" customHeight="1">
      <c r="A248" s="93">
        <v>245.0</v>
      </c>
      <c r="B248" s="93"/>
      <c r="C248" s="93"/>
      <c r="D248" s="93"/>
      <c r="E248" s="93"/>
      <c r="F248" s="93"/>
      <c r="G248" s="93"/>
      <c r="H248" s="93" t="s">
        <v>545</v>
      </c>
      <c r="I248" s="93" t="s">
        <v>81</v>
      </c>
      <c r="J248" s="93"/>
      <c r="K248" s="93"/>
      <c r="L248" s="93"/>
      <c r="M248" s="93" t="s">
        <v>61</v>
      </c>
      <c r="N248" s="93"/>
    </row>
    <row r="249" ht="18.0" customHeight="1">
      <c r="A249" s="99">
        <v>246.0</v>
      </c>
      <c r="B249" s="99"/>
      <c r="C249" s="99"/>
      <c r="D249" s="99"/>
      <c r="E249" s="99"/>
      <c r="F249" s="99"/>
      <c r="G249" s="99"/>
      <c r="H249" s="99" t="s">
        <v>545</v>
      </c>
      <c r="I249" s="99" t="s">
        <v>81</v>
      </c>
      <c r="J249" s="99"/>
      <c r="K249" s="99"/>
      <c r="L249" s="99"/>
      <c r="M249" s="99" t="s">
        <v>61</v>
      </c>
      <c r="N249" s="99"/>
    </row>
    <row r="250" ht="18.0" customHeight="1">
      <c r="A250" s="93">
        <v>247.0</v>
      </c>
      <c r="B250" s="93"/>
      <c r="C250" s="93"/>
      <c r="D250" s="93"/>
      <c r="E250" s="93"/>
      <c r="F250" s="93"/>
      <c r="G250" s="93"/>
      <c r="H250" s="93" t="s">
        <v>545</v>
      </c>
      <c r="I250" s="93" t="s">
        <v>81</v>
      </c>
      <c r="J250" s="93"/>
      <c r="K250" s="93"/>
      <c r="L250" s="93"/>
      <c r="M250" s="93" t="s">
        <v>61</v>
      </c>
      <c r="N250" s="93"/>
    </row>
    <row r="251" ht="18.0" customHeight="1">
      <c r="A251" s="99">
        <v>248.0</v>
      </c>
      <c r="B251" s="99"/>
      <c r="C251" s="99"/>
      <c r="D251" s="99"/>
      <c r="E251" s="99"/>
      <c r="F251" s="99"/>
      <c r="G251" s="99"/>
      <c r="H251" s="99" t="s">
        <v>545</v>
      </c>
      <c r="I251" s="99" t="s">
        <v>81</v>
      </c>
      <c r="J251" s="99"/>
      <c r="K251" s="99"/>
      <c r="L251" s="99"/>
      <c r="M251" s="99" t="s">
        <v>61</v>
      </c>
      <c r="N251" s="99"/>
    </row>
    <row r="252" ht="18.0" customHeight="1">
      <c r="A252" s="93">
        <v>249.0</v>
      </c>
      <c r="B252" s="93"/>
      <c r="C252" s="93"/>
      <c r="D252" s="93"/>
      <c r="E252" s="93"/>
      <c r="F252" s="93"/>
      <c r="G252" s="93"/>
      <c r="H252" s="93" t="s">
        <v>545</v>
      </c>
      <c r="I252" s="93" t="s">
        <v>81</v>
      </c>
      <c r="J252" s="93"/>
      <c r="K252" s="93"/>
      <c r="L252" s="93"/>
      <c r="M252" s="93" t="s">
        <v>61</v>
      </c>
      <c r="N252" s="93"/>
    </row>
    <row r="253" ht="18.0" customHeight="1">
      <c r="A253" s="99">
        <v>250.0</v>
      </c>
      <c r="B253" s="99"/>
      <c r="C253" s="99"/>
      <c r="D253" s="99"/>
      <c r="E253" s="99"/>
      <c r="F253" s="99"/>
      <c r="G253" s="99"/>
      <c r="H253" s="99" t="s">
        <v>545</v>
      </c>
      <c r="I253" s="99" t="s">
        <v>81</v>
      </c>
      <c r="J253" s="99"/>
      <c r="K253" s="99"/>
      <c r="L253" s="99"/>
      <c r="M253" s="99" t="s">
        <v>61</v>
      </c>
      <c r="N253" s="99"/>
    </row>
    <row r="254" ht="18.0" customHeight="1">
      <c r="A254" s="93">
        <v>251.0</v>
      </c>
      <c r="B254" s="93"/>
      <c r="C254" s="93"/>
      <c r="D254" s="93"/>
      <c r="E254" s="93"/>
      <c r="F254" s="93"/>
      <c r="G254" s="93"/>
      <c r="H254" s="93" t="s">
        <v>545</v>
      </c>
      <c r="I254" s="93" t="s">
        <v>81</v>
      </c>
      <c r="J254" s="93"/>
      <c r="K254" s="93"/>
      <c r="L254" s="93"/>
      <c r="M254" s="93" t="s">
        <v>61</v>
      </c>
      <c r="N254" s="93"/>
    </row>
    <row r="255" ht="18.0" customHeight="1">
      <c r="A255" s="99">
        <v>252.0</v>
      </c>
      <c r="B255" s="99"/>
      <c r="C255" s="99"/>
      <c r="D255" s="99"/>
      <c r="E255" s="99"/>
      <c r="F255" s="99"/>
      <c r="G255" s="99"/>
      <c r="H255" s="99" t="s">
        <v>545</v>
      </c>
      <c r="I255" s="99" t="s">
        <v>81</v>
      </c>
      <c r="J255" s="99"/>
      <c r="K255" s="99"/>
      <c r="L255" s="99"/>
      <c r="M255" s="99" t="s">
        <v>61</v>
      </c>
      <c r="N255" s="99"/>
    </row>
    <row r="256" ht="18.0" customHeight="1">
      <c r="A256" s="93">
        <v>253.0</v>
      </c>
      <c r="B256" s="93"/>
      <c r="C256" s="93"/>
      <c r="D256" s="93"/>
      <c r="E256" s="93"/>
      <c r="F256" s="93"/>
      <c r="G256" s="93"/>
      <c r="H256" s="93" t="s">
        <v>545</v>
      </c>
      <c r="I256" s="93" t="s">
        <v>81</v>
      </c>
      <c r="J256" s="93"/>
      <c r="K256" s="93"/>
      <c r="L256" s="93"/>
      <c r="M256" s="93" t="s">
        <v>61</v>
      </c>
      <c r="N256" s="93"/>
    </row>
    <row r="257" ht="18.0" customHeight="1">
      <c r="A257" s="99">
        <v>254.0</v>
      </c>
      <c r="B257" s="99"/>
      <c r="C257" s="99"/>
      <c r="D257" s="99"/>
      <c r="E257" s="99"/>
      <c r="F257" s="99"/>
      <c r="G257" s="99"/>
      <c r="H257" s="99" t="s">
        <v>545</v>
      </c>
      <c r="I257" s="99" t="s">
        <v>81</v>
      </c>
      <c r="J257" s="99"/>
      <c r="K257" s="99"/>
      <c r="L257" s="99"/>
      <c r="M257" s="99" t="s">
        <v>61</v>
      </c>
      <c r="N257" s="99"/>
    </row>
    <row r="258" ht="18.0" customHeight="1">
      <c r="A258" s="93">
        <v>255.0</v>
      </c>
      <c r="B258" s="93"/>
      <c r="C258" s="93"/>
      <c r="D258" s="93"/>
      <c r="E258" s="93"/>
      <c r="F258" s="93"/>
      <c r="G258" s="93"/>
      <c r="H258" s="93" t="s">
        <v>545</v>
      </c>
      <c r="I258" s="93" t="s">
        <v>81</v>
      </c>
      <c r="J258" s="93"/>
      <c r="K258" s="93"/>
      <c r="L258" s="93"/>
      <c r="M258" s="93" t="s">
        <v>61</v>
      </c>
      <c r="N258" s="93"/>
    </row>
    <row r="259" ht="18.0" customHeight="1">
      <c r="A259" s="99">
        <v>256.0</v>
      </c>
      <c r="B259" s="99"/>
      <c r="C259" s="99"/>
      <c r="D259" s="99"/>
      <c r="E259" s="99"/>
      <c r="F259" s="99"/>
      <c r="G259" s="99"/>
      <c r="H259" s="99" t="s">
        <v>545</v>
      </c>
      <c r="I259" s="99" t="s">
        <v>81</v>
      </c>
      <c r="J259" s="99"/>
      <c r="K259" s="99"/>
      <c r="L259" s="99"/>
      <c r="M259" s="99" t="s">
        <v>61</v>
      </c>
      <c r="N259" s="99"/>
    </row>
    <row r="260" ht="18.0" customHeight="1">
      <c r="A260" s="93">
        <v>257.0</v>
      </c>
      <c r="B260" s="93"/>
      <c r="C260" s="93"/>
      <c r="D260" s="93"/>
      <c r="E260" s="93"/>
      <c r="F260" s="93"/>
      <c r="G260" s="93"/>
      <c r="H260" s="93" t="s">
        <v>545</v>
      </c>
      <c r="I260" s="93" t="s">
        <v>81</v>
      </c>
      <c r="J260" s="93"/>
      <c r="K260" s="93"/>
      <c r="L260" s="93"/>
      <c r="M260" s="93" t="s">
        <v>61</v>
      </c>
      <c r="N260" s="93"/>
    </row>
    <row r="261" ht="18.0" customHeight="1">
      <c r="A261" s="99">
        <v>258.0</v>
      </c>
      <c r="B261" s="99"/>
      <c r="C261" s="99"/>
      <c r="D261" s="99"/>
      <c r="E261" s="99"/>
      <c r="F261" s="99"/>
      <c r="G261" s="99"/>
      <c r="H261" s="99" t="s">
        <v>545</v>
      </c>
      <c r="I261" s="99" t="s">
        <v>81</v>
      </c>
      <c r="J261" s="99"/>
      <c r="K261" s="99"/>
      <c r="L261" s="99"/>
      <c r="M261" s="99" t="s">
        <v>61</v>
      </c>
      <c r="N261" s="99"/>
    </row>
    <row r="262" ht="18.0" customHeight="1">
      <c r="A262" s="93">
        <v>259.0</v>
      </c>
      <c r="B262" s="93"/>
      <c r="C262" s="93"/>
      <c r="D262" s="93"/>
      <c r="E262" s="93"/>
      <c r="F262" s="93"/>
      <c r="G262" s="93"/>
      <c r="H262" s="93" t="s">
        <v>545</v>
      </c>
      <c r="I262" s="93" t="s">
        <v>81</v>
      </c>
      <c r="J262" s="93"/>
      <c r="K262" s="93"/>
      <c r="L262" s="93"/>
      <c r="M262" s="93" t="s">
        <v>61</v>
      </c>
      <c r="N262" s="93"/>
    </row>
    <row r="263" ht="18.0" customHeight="1">
      <c r="A263" s="99">
        <v>260.0</v>
      </c>
      <c r="B263" s="99"/>
      <c r="C263" s="99"/>
      <c r="D263" s="99"/>
      <c r="E263" s="99"/>
      <c r="F263" s="99"/>
      <c r="G263" s="99"/>
      <c r="H263" s="99" t="s">
        <v>545</v>
      </c>
      <c r="I263" s="99" t="s">
        <v>81</v>
      </c>
      <c r="J263" s="99"/>
      <c r="K263" s="99"/>
      <c r="L263" s="99"/>
      <c r="M263" s="99" t="s">
        <v>61</v>
      </c>
      <c r="N263" s="99"/>
    </row>
    <row r="264" ht="18.0" customHeight="1">
      <c r="A264" s="93">
        <v>261.0</v>
      </c>
      <c r="B264" s="93"/>
      <c r="C264" s="93"/>
      <c r="D264" s="93"/>
      <c r="E264" s="93"/>
      <c r="F264" s="93"/>
      <c r="G264" s="93"/>
      <c r="H264" s="93" t="s">
        <v>545</v>
      </c>
      <c r="I264" s="93" t="s">
        <v>81</v>
      </c>
      <c r="J264" s="93"/>
      <c r="K264" s="93"/>
      <c r="L264" s="93"/>
      <c r="M264" s="93" t="s">
        <v>61</v>
      </c>
      <c r="N264" s="93"/>
    </row>
    <row r="265" ht="18.0" customHeight="1">
      <c r="A265" s="99">
        <v>262.0</v>
      </c>
      <c r="B265" s="99"/>
      <c r="C265" s="99"/>
      <c r="D265" s="99"/>
      <c r="E265" s="99"/>
      <c r="F265" s="99"/>
      <c r="G265" s="99"/>
      <c r="H265" s="99" t="s">
        <v>545</v>
      </c>
      <c r="I265" s="99" t="s">
        <v>81</v>
      </c>
      <c r="J265" s="99"/>
      <c r="K265" s="99"/>
      <c r="L265" s="99"/>
      <c r="M265" s="99" t="s">
        <v>61</v>
      </c>
      <c r="N265" s="99"/>
    </row>
    <row r="266" ht="18.0" customHeight="1">
      <c r="A266" s="93">
        <v>263.0</v>
      </c>
      <c r="B266" s="93"/>
      <c r="C266" s="93"/>
      <c r="D266" s="93"/>
      <c r="E266" s="93"/>
      <c r="F266" s="93"/>
      <c r="G266" s="93"/>
      <c r="H266" s="93" t="s">
        <v>545</v>
      </c>
      <c r="I266" s="93" t="s">
        <v>81</v>
      </c>
      <c r="J266" s="93"/>
      <c r="K266" s="93"/>
      <c r="L266" s="93"/>
      <c r="M266" s="93" t="s">
        <v>61</v>
      </c>
      <c r="N266" s="93"/>
    </row>
    <row r="267" ht="18.0" customHeight="1">
      <c r="A267" s="99">
        <v>264.0</v>
      </c>
      <c r="B267" s="99"/>
      <c r="C267" s="99"/>
      <c r="D267" s="99"/>
      <c r="E267" s="99"/>
      <c r="F267" s="99"/>
      <c r="G267" s="99"/>
      <c r="H267" s="99" t="s">
        <v>545</v>
      </c>
      <c r="I267" s="99" t="s">
        <v>81</v>
      </c>
      <c r="J267" s="99"/>
      <c r="K267" s="99"/>
      <c r="L267" s="99"/>
      <c r="M267" s="99" t="s">
        <v>61</v>
      </c>
      <c r="N267" s="99"/>
    </row>
    <row r="268" ht="18.0" customHeight="1">
      <c r="A268" s="93">
        <v>265.0</v>
      </c>
      <c r="B268" s="93"/>
      <c r="C268" s="93"/>
      <c r="D268" s="93"/>
      <c r="E268" s="93"/>
      <c r="F268" s="93"/>
      <c r="G268" s="93"/>
      <c r="H268" s="93" t="s">
        <v>545</v>
      </c>
      <c r="I268" s="93" t="s">
        <v>81</v>
      </c>
      <c r="J268" s="93"/>
      <c r="K268" s="93"/>
      <c r="L268" s="93"/>
      <c r="M268" s="93" t="s">
        <v>61</v>
      </c>
      <c r="N268" s="93"/>
    </row>
    <row r="269" ht="18.0" customHeight="1">
      <c r="A269" s="99">
        <v>266.0</v>
      </c>
      <c r="B269" s="99"/>
      <c r="C269" s="99"/>
      <c r="D269" s="99"/>
      <c r="E269" s="99"/>
      <c r="F269" s="99"/>
      <c r="G269" s="99"/>
      <c r="H269" s="99" t="s">
        <v>545</v>
      </c>
      <c r="I269" s="99" t="s">
        <v>81</v>
      </c>
      <c r="J269" s="99"/>
      <c r="K269" s="99"/>
      <c r="L269" s="99"/>
      <c r="M269" s="99" t="s">
        <v>61</v>
      </c>
      <c r="N269" s="99"/>
    </row>
    <row r="270" ht="18.0" customHeight="1">
      <c r="A270" s="93">
        <v>267.0</v>
      </c>
      <c r="B270" s="93"/>
      <c r="C270" s="93"/>
      <c r="D270" s="93"/>
      <c r="E270" s="93"/>
      <c r="F270" s="93"/>
      <c r="G270" s="93"/>
      <c r="H270" s="93" t="s">
        <v>545</v>
      </c>
      <c r="I270" s="93" t="s">
        <v>81</v>
      </c>
      <c r="J270" s="93"/>
      <c r="K270" s="93"/>
      <c r="L270" s="93"/>
      <c r="M270" s="93" t="s">
        <v>61</v>
      </c>
      <c r="N270" s="93"/>
    </row>
    <row r="271" ht="18.0" customHeight="1">
      <c r="A271" s="99">
        <v>268.0</v>
      </c>
      <c r="B271" s="99"/>
      <c r="C271" s="99"/>
      <c r="D271" s="99"/>
      <c r="E271" s="99"/>
      <c r="F271" s="99"/>
      <c r="G271" s="99"/>
      <c r="H271" s="99" t="s">
        <v>545</v>
      </c>
      <c r="I271" s="99" t="s">
        <v>81</v>
      </c>
      <c r="J271" s="99"/>
      <c r="K271" s="99"/>
      <c r="L271" s="99"/>
      <c r="M271" s="99" t="s">
        <v>61</v>
      </c>
      <c r="N271" s="99"/>
    </row>
    <row r="272" ht="18.0" customHeight="1">
      <c r="A272" s="93">
        <v>269.0</v>
      </c>
      <c r="B272" s="93"/>
      <c r="C272" s="93"/>
      <c r="D272" s="93"/>
      <c r="E272" s="93"/>
      <c r="F272" s="93"/>
      <c r="G272" s="93"/>
      <c r="H272" s="93" t="s">
        <v>545</v>
      </c>
      <c r="I272" s="93" t="s">
        <v>81</v>
      </c>
      <c r="J272" s="93"/>
      <c r="K272" s="93"/>
      <c r="L272" s="93"/>
      <c r="M272" s="93" t="s">
        <v>61</v>
      </c>
      <c r="N272" s="93"/>
    </row>
    <row r="273" ht="18.0" customHeight="1">
      <c r="A273" s="99">
        <v>270.0</v>
      </c>
      <c r="B273" s="99"/>
      <c r="C273" s="99"/>
      <c r="D273" s="99"/>
      <c r="E273" s="99"/>
      <c r="F273" s="99"/>
      <c r="G273" s="99"/>
      <c r="H273" s="99" t="s">
        <v>545</v>
      </c>
      <c r="I273" s="99" t="s">
        <v>81</v>
      </c>
      <c r="J273" s="99"/>
      <c r="K273" s="99"/>
      <c r="L273" s="99"/>
      <c r="M273" s="99" t="s">
        <v>61</v>
      </c>
      <c r="N273" s="99"/>
    </row>
    <row r="274" ht="18.0" customHeight="1">
      <c r="A274" s="93">
        <v>271.0</v>
      </c>
      <c r="B274" s="93"/>
      <c r="C274" s="93"/>
      <c r="D274" s="93"/>
      <c r="E274" s="93"/>
      <c r="F274" s="93"/>
      <c r="G274" s="93"/>
      <c r="H274" s="93" t="s">
        <v>545</v>
      </c>
      <c r="I274" s="93" t="s">
        <v>81</v>
      </c>
      <c r="J274" s="93"/>
      <c r="K274" s="93"/>
      <c r="L274" s="93"/>
      <c r="M274" s="93" t="s">
        <v>61</v>
      </c>
      <c r="N274" s="93"/>
    </row>
    <row r="275" ht="18.0" customHeight="1">
      <c r="A275" s="99">
        <v>272.0</v>
      </c>
      <c r="B275" s="99"/>
      <c r="C275" s="99"/>
      <c r="D275" s="99"/>
      <c r="E275" s="99"/>
      <c r="F275" s="99"/>
      <c r="G275" s="99"/>
      <c r="H275" s="99" t="s">
        <v>545</v>
      </c>
      <c r="I275" s="99" t="s">
        <v>81</v>
      </c>
      <c r="J275" s="99"/>
      <c r="K275" s="99"/>
      <c r="L275" s="99"/>
      <c r="M275" s="99" t="s">
        <v>61</v>
      </c>
      <c r="N275" s="99"/>
    </row>
    <row r="276" ht="18.0" customHeight="1">
      <c r="A276" s="93">
        <v>273.0</v>
      </c>
      <c r="B276" s="93"/>
      <c r="C276" s="93"/>
      <c r="D276" s="93"/>
      <c r="E276" s="93"/>
      <c r="F276" s="93"/>
      <c r="G276" s="93"/>
      <c r="H276" s="93" t="s">
        <v>545</v>
      </c>
      <c r="I276" s="93" t="s">
        <v>81</v>
      </c>
      <c r="J276" s="93"/>
      <c r="K276" s="93"/>
      <c r="L276" s="93"/>
      <c r="M276" s="93" t="s">
        <v>61</v>
      </c>
      <c r="N276" s="93"/>
    </row>
    <row r="277" ht="18.0" customHeight="1">
      <c r="A277" s="99">
        <v>274.0</v>
      </c>
      <c r="B277" s="99"/>
      <c r="C277" s="99"/>
      <c r="D277" s="99"/>
      <c r="E277" s="99"/>
      <c r="F277" s="99"/>
      <c r="G277" s="99"/>
      <c r="H277" s="99" t="s">
        <v>545</v>
      </c>
      <c r="I277" s="99" t="s">
        <v>81</v>
      </c>
      <c r="J277" s="99"/>
      <c r="K277" s="99"/>
      <c r="L277" s="99"/>
      <c r="M277" s="99" t="s">
        <v>61</v>
      </c>
      <c r="N277" s="99"/>
    </row>
    <row r="278" ht="18.0" customHeight="1">
      <c r="A278" s="93">
        <v>275.0</v>
      </c>
      <c r="B278" s="93"/>
      <c r="C278" s="93"/>
      <c r="D278" s="93"/>
      <c r="E278" s="93"/>
      <c r="F278" s="93"/>
      <c r="G278" s="93"/>
      <c r="H278" s="93" t="s">
        <v>545</v>
      </c>
      <c r="I278" s="93" t="s">
        <v>81</v>
      </c>
      <c r="J278" s="93"/>
      <c r="K278" s="93"/>
      <c r="L278" s="93"/>
      <c r="M278" s="93" t="s">
        <v>61</v>
      </c>
      <c r="N278" s="93"/>
    </row>
    <row r="279" ht="18.0" customHeight="1">
      <c r="A279" s="99">
        <v>276.0</v>
      </c>
      <c r="B279" s="99"/>
      <c r="C279" s="99"/>
      <c r="D279" s="99"/>
      <c r="E279" s="99"/>
      <c r="F279" s="99"/>
      <c r="G279" s="99"/>
      <c r="H279" s="99" t="s">
        <v>545</v>
      </c>
      <c r="I279" s="99" t="s">
        <v>81</v>
      </c>
      <c r="J279" s="99"/>
      <c r="K279" s="99"/>
      <c r="L279" s="99"/>
      <c r="M279" s="99" t="s">
        <v>61</v>
      </c>
      <c r="N279" s="99"/>
    </row>
    <row r="280" ht="18.0" customHeight="1">
      <c r="A280" s="93">
        <v>277.0</v>
      </c>
      <c r="B280" s="93"/>
      <c r="C280" s="93"/>
      <c r="D280" s="93"/>
      <c r="E280" s="93"/>
      <c r="F280" s="93"/>
      <c r="G280" s="93"/>
      <c r="H280" s="93" t="s">
        <v>545</v>
      </c>
      <c r="I280" s="93" t="s">
        <v>81</v>
      </c>
      <c r="J280" s="93"/>
      <c r="K280" s="93"/>
      <c r="L280" s="93"/>
      <c r="M280" s="93" t="s">
        <v>61</v>
      </c>
      <c r="N280" s="93"/>
    </row>
    <row r="281" ht="18.0" customHeight="1">
      <c r="A281" s="99">
        <v>278.0</v>
      </c>
      <c r="B281" s="99"/>
      <c r="C281" s="99"/>
      <c r="D281" s="99"/>
      <c r="E281" s="99"/>
      <c r="F281" s="99"/>
      <c r="G281" s="99"/>
      <c r="H281" s="99" t="s">
        <v>545</v>
      </c>
      <c r="I281" s="99" t="s">
        <v>81</v>
      </c>
      <c r="J281" s="99"/>
      <c r="K281" s="99"/>
      <c r="L281" s="99"/>
      <c r="M281" s="99" t="s">
        <v>61</v>
      </c>
      <c r="N281" s="99"/>
    </row>
    <row r="282" ht="18.0" customHeight="1">
      <c r="A282" s="93">
        <v>279.0</v>
      </c>
      <c r="B282" s="93"/>
      <c r="C282" s="93"/>
      <c r="D282" s="93"/>
      <c r="E282" s="93"/>
      <c r="F282" s="93"/>
      <c r="G282" s="93"/>
      <c r="H282" s="93" t="s">
        <v>545</v>
      </c>
      <c r="I282" s="93" t="s">
        <v>81</v>
      </c>
      <c r="J282" s="93"/>
      <c r="K282" s="93"/>
      <c r="L282" s="93"/>
      <c r="M282" s="93" t="s">
        <v>61</v>
      </c>
      <c r="N282" s="93"/>
    </row>
    <row r="283" ht="18.0" customHeight="1">
      <c r="A283" s="99">
        <v>280.0</v>
      </c>
      <c r="B283" s="99"/>
      <c r="C283" s="99"/>
      <c r="D283" s="99"/>
      <c r="E283" s="99"/>
      <c r="F283" s="99"/>
      <c r="G283" s="99"/>
      <c r="H283" s="99" t="s">
        <v>545</v>
      </c>
      <c r="I283" s="99" t="s">
        <v>81</v>
      </c>
      <c r="J283" s="99"/>
      <c r="K283" s="99"/>
      <c r="L283" s="99"/>
      <c r="M283" s="99" t="s">
        <v>61</v>
      </c>
      <c r="N283" s="99"/>
    </row>
    <row r="284" ht="18.0" customHeight="1">
      <c r="A284" s="93">
        <v>281.0</v>
      </c>
      <c r="B284" s="93"/>
      <c r="C284" s="93"/>
      <c r="D284" s="93"/>
      <c r="E284" s="93"/>
      <c r="F284" s="93"/>
      <c r="G284" s="93"/>
      <c r="H284" s="93" t="s">
        <v>545</v>
      </c>
      <c r="I284" s="93" t="s">
        <v>81</v>
      </c>
      <c r="J284" s="93"/>
      <c r="K284" s="93"/>
      <c r="L284" s="93"/>
      <c r="M284" s="93" t="s">
        <v>61</v>
      </c>
      <c r="N284" s="93"/>
    </row>
    <row r="285" ht="18.0" customHeight="1">
      <c r="A285" s="99">
        <v>282.0</v>
      </c>
      <c r="B285" s="99"/>
      <c r="C285" s="99"/>
      <c r="D285" s="99"/>
      <c r="E285" s="99"/>
      <c r="F285" s="99"/>
      <c r="G285" s="99"/>
      <c r="H285" s="99" t="s">
        <v>545</v>
      </c>
      <c r="I285" s="99" t="s">
        <v>81</v>
      </c>
      <c r="J285" s="99"/>
      <c r="K285" s="99"/>
      <c r="L285" s="99"/>
      <c r="M285" s="99" t="s">
        <v>61</v>
      </c>
      <c r="N285" s="99"/>
    </row>
    <row r="286" ht="18.0" customHeight="1">
      <c r="A286" s="93">
        <v>283.0</v>
      </c>
      <c r="B286" s="93"/>
      <c r="C286" s="93"/>
      <c r="D286" s="93"/>
      <c r="E286" s="93"/>
      <c r="F286" s="93"/>
      <c r="G286" s="93"/>
      <c r="H286" s="93" t="s">
        <v>545</v>
      </c>
      <c r="I286" s="93" t="s">
        <v>81</v>
      </c>
      <c r="J286" s="93"/>
      <c r="K286" s="93"/>
      <c r="L286" s="93"/>
      <c r="M286" s="93" t="s">
        <v>61</v>
      </c>
      <c r="N286" s="93"/>
    </row>
    <row r="287" ht="18.0" customHeight="1">
      <c r="A287" s="99">
        <v>284.0</v>
      </c>
      <c r="B287" s="99"/>
      <c r="C287" s="99"/>
      <c r="D287" s="99"/>
      <c r="E287" s="99"/>
      <c r="F287" s="99"/>
      <c r="G287" s="99"/>
      <c r="H287" s="99" t="s">
        <v>545</v>
      </c>
      <c r="I287" s="99" t="s">
        <v>81</v>
      </c>
      <c r="J287" s="99"/>
      <c r="K287" s="99"/>
      <c r="L287" s="99"/>
      <c r="M287" s="99" t="s">
        <v>61</v>
      </c>
      <c r="N287" s="99"/>
    </row>
    <row r="288" ht="18.0" customHeight="1">
      <c r="A288" s="93">
        <v>285.0</v>
      </c>
      <c r="B288" s="93"/>
      <c r="C288" s="93"/>
      <c r="D288" s="93"/>
      <c r="E288" s="93"/>
      <c r="F288" s="93"/>
      <c r="G288" s="93"/>
      <c r="H288" s="93" t="s">
        <v>545</v>
      </c>
      <c r="I288" s="93" t="s">
        <v>81</v>
      </c>
      <c r="J288" s="93"/>
      <c r="K288" s="93"/>
      <c r="L288" s="93"/>
      <c r="M288" s="93" t="s">
        <v>61</v>
      </c>
      <c r="N288" s="93"/>
    </row>
    <row r="289" ht="18.0" customHeight="1">
      <c r="A289" s="99">
        <v>286.0</v>
      </c>
      <c r="B289" s="99"/>
      <c r="C289" s="99"/>
      <c r="D289" s="99"/>
      <c r="E289" s="99"/>
      <c r="F289" s="99"/>
      <c r="G289" s="99"/>
      <c r="H289" s="99" t="s">
        <v>545</v>
      </c>
      <c r="I289" s="99" t="s">
        <v>81</v>
      </c>
      <c r="J289" s="99"/>
      <c r="K289" s="99"/>
      <c r="L289" s="99"/>
      <c r="M289" s="99" t="s">
        <v>61</v>
      </c>
      <c r="N289" s="99"/>
    </row>
    <row r="290" ht="18.0" customHeight="1">
      <c r="A290" s="93">
        <v>287.0</v>
      </c>
      <c r="B290" s="93"/>
      <c r="C290" s="93"/>
      <c r="D290" s="93"/>
      <c r="E290" s="93"/>
      <c r="F290" s="93"/>
      <c r="G290" s="93"/>
      <c r="H290" s="93" t="s">
        <v>545</v>
      </c>
      <c r="I290" s="93" t="s">
        <v>81</v>
      </c>
      <c r="J290" s="93"/>
      <c r="K290" s="93"/>
      <c r="L290" s="93"/>
      <c r="M290" s="93" t="s">
        <v>61</v>
      </c>
      <c r="N290" s="93"/>
    </row>
    <row r="291" ht="18.0" customHeight="1">
      <c r="A291" s="99">
        <v>288.0</v>
      </c>
      <c r="B291" s="99"/>
      <c r="C291" s="99"/>
      <c r="D291" s="99"/>
      <c r="E291" s="99"/>
      <c r="F291" s="99"/>
      <c r="G291" s="99"/>
      <c r="H291" s="99" t="s">
        <v>545</v>
      </c>
      <c r="I291" s="99" t="s">
        <v>81</v>
      </c>
      <c r="J291" s="99"/>
      <c r="K291" s="99"/>
      <c r="L291" s="99"/>
      <c r="M291" s="99" t="s">
        <v>61</v>
      </c>
      <c r="N291" s="99"/>
    </row>
    <row r="292" ht="18.0" customHeight="1">
      <c r="A292" s="93">
        <v>289.0</v>
      </c>
      <c r="B292" s="93"/>
      <c r="C292" s="93"/>
      <c r="D292" s="93"/>
      <c r="E292" s="93"/>
      <c r="F292" s="93"/>
      <c r="G292" s="93"/>
      <c r="H292" s="93" t="s">
        <v>545</v>
      </c>
      <c r="I292" s="93" t="s">
        <v>81</v>
      </c>
      <c r="J292" s="93"/>
      <c r="K292" s="93"/>
      <c r="L292" s="93"/>
      <c r="M292" s="93" t="s">
        <v>61</v>
      </c>
      <c r="N292" s="93"/>
    </row>
    <row r="293" ht="18.0" customHeight="1">
      <c r="A293" s="99">
        <v>290.0</v>
      </c>
      <c r="B293" s="99"/>
      <c r="C293" s="99"/>
      <c r="D293" s="99"/>
      <c r="E293" s="99"/>
      <c r="F293" s="99"/>
      <c r="G293" s="99"/>
      <c r="H293" s="99" t="s">
        <v>545</v>
      </c>
      <c r="I293" s="99" t="s">
        <v>81</v>
      </c>
      <c r="J293" s="99"/>
      <c r="K293" s="99"/>
      <c r="L293" s="99"/>
      <c r="M293" s="99" t="s">
        <v>61</v>
      </c>
      <c r="N293" s="99"/>
    </row>
    <row r="294" ht="18.0" customHeight="1">
      <c r="A294" s="93">
        <v>291.0</v>
      </c>
      <c r="B294" s="93"/>
      <c r="C294" s="93"/>
      <c r="D294" s="93"/>
      <c r="E294" s="93"/>
      <c r="F294" s="93"/>
      <c r="G294" s="93"/>
      <c r="H294" s="93" t="s">
        <v>545</v>
      </c>
      <c r="I294" s="93" t="s">
        <v>81</v>
      </c>
      <c r="J294" s="93"/>
      <c r="K294" s="93"/>
      <c r="L294" s="93"/>
      <c r="M294" s="93" t="s">
        <v>61</v>
      </c>
      <c r="N294" s="93"/>
    </row>
    <row r="295" ht="18.0" customHeight="1">
      <c r="A295" s="99">
        <v>292.0</v>
      </c>
      <c r="B295" s="99"/>
      <c r="C295" s="99"/>
      <c r="D295" s="99"/>
      <c r="E295" s="99"/>
      <c r="F295" s="99"/>
      <c r="G295" s="99"/>
      <c r="H295" s="99" t="s">
        <v>545</v>
      </c>
      <c r="I295" s="99" t="s">
        <v>81</v>
      </c>
      <c r="J295" s="99"/>
      <c r="K295" s="99"/>
      <c r="L295" s="99"/>
      <c r="M295" s="99" t="s">
        <v>61</v>
      </c>
      <c r="N295" s="99"/>
    </row>
    <row r="296" ht="18.0" customHeight="1">
      <c r="A296" s="93">
        <v>293.0</v>
      </c>
      <c r="B296" s="93"/>
      <c r="C296" s="93"/>
      <c r="D296" s="93"/>
      <c r="E296" s="93"/>
      <c r="F296" s="93"/>
      <c r="G296" s="93"/>
      <c r="H296" s="93" t="s">
        <v>545</v>
      </c>
      <c r="I296" s="93" t="s">
        <v>81</v>
      </c>
      <c r="J296" s="93"/>
      <c r="K296" s="93"/>
      <c r="L296" s="93"/>
      <c r="M296" s="93" t="s">
        <v>61</v>
      </c>
      <c r="N296" s="93"/>
    </row>
    <row r="297" ht="18.0" customHeight="1">
      <c r="A297" s="99">
        <v>294.0</v>
      </c>
      <c r="B297" s="99"/>
      <c r="C297" s="99"/>
      <c r="D297" s="99"/>
      <c r="E297" s="99"/>
      <c r="F297" s="99"/>
      <c r="G297" s="99"/>
      <c r="H297" s="99" t="s">
        <v>545</v>
      </c>
      <c r="I297" s="99" t="s">
        <v>81</v>
      </c>
      <c r="J297" s="99"/>
      <c r="K297" s="99"/>
      <c r="L297" s="99"/>
      <c r="M297" s="99" t="s">
        <v>61</v>
      </c>
      <c r="N297" s="99"/>
    </row>
    <row r="298" ht="18.0" customHeight="1">
      <c r="A298" s="93">
        <v>295.0</v>
      </c>
      <c r="B298" s="93"/>
      <c r="C298" s="93"/>
      <c r="D298" s="93"/>
      <c r="E298" s="93"/>
      <c r="F298" s="93"/>
      <c r="G298" s="93"/>
      <c r="H298" s="93" t="s">
        <v>545</v>
      </c>
      <c r="I298" s="93" t="s">
        <v>81</v>
      </c>
      <c r="J298" s="93"/>
      <c r="K298" s="93"/>
      <c r="L298" s="93"/>
      <c r="M298" s="93" t="s">
        <v>61</v>
      </c>
      <c r="N298" s="93"/>
    </row>
    <row r="299" ht="18.0" customHeight="1">
      <c r="A299" s="99">
        <v>296.0</v>
      </c>
      <c r="B299" s="99"/>
      <c r="C299" s="99"/>
      <c r="D299" s="99"/>
      <c r="E299" s="99"/>
      <c r="F299" s="99"/>
      <c r="G299" s="99"/>
      <c r="H299" s="99" t="s">
        <v>545</v>
      </c>
      <c r="I299" s="99" t="s">
        <v>81</v>
      </c>
      <c r="J299" s="99"/>
      <c r="K299" s="99"/>
      <c r="L299" s="99"/>
      <c r="M299" s="99" t="s">
        <v>61</v>
      </c>
      <c r="N299" s="99"/>
    </row>
    <row r="300" ht="18.0" customHeight="1">
      <c r="A300" s="93">
        <v>297.0</v>
      </c>
      <c r="B300" s="93"/>
      <c r="C300" s="93"/>
      <c r="D300" s="93"/>
      <c r="E300" s="93"/>
      <c r="F300" s="93"/>
      <c r="G300" s="93"/>
      <c r="H300" s="93" t="s">
        <v>545</v>
      </c>
      <c r="I300" s="93" t="s">
        <v>81</v>
      </c>
      <c r="J300" s="93"/>
      <c r="K300" s="93"/>
      <c r="L300" s="93"/>
      <c r="M300" s="93" t="s">
        <v>61</v>
      </c>
      <c r="N300" s="93"/>
    </row>
    <row r="301" ht="18.0" customHeight="1">
      <c r="A301" s="99">
        <v>298.0</v>
      </c>
      <c r="B301" s="99"/>
      <c r="C301" s="99"/>
      <c r="D301" s="99"/>
      <c r="E301" s="99"/>
      <c r="F301" s="99"/>
      <c r="G301" s="99"/>
      <c r="H301" s="99" t="s">
        <v>545</v>
      </c>
      <c r="I301" s="99" t="s">
        <v>81</v>
      </c>
      <c r="J301" s="99"/>
      <c r="K301" s="99"/>
      <c r="L301" s="99"/>
      <c r="M301" s="99" t="s">
        <v>61</v>
      </c>
      <c r="N301" s="99"/>
    </row>
    <row r="302" ht="18.0" customHeight="1">
      <c r="A302" s="93">
        <v>299.0</v>
      </c>
      <c r="B302" s="93"/>
      <c r="C302" s="93"/>
      <c r="D302" s="93"/>
      <c r="E302" s="93"/>
      <c r="F302" s="93"/>
      <c r="G302" s="93"/>
      <c r="H302" s="93" t="s">
        <v>545</v>
      </c>
      <c r="I302" s="93" t="s">
        <v>81</v>
      </c>
      <c r="J302" s="93"/>
      <c r="K302" s="93"/>
      <c r="L302" s="93"/>
      <c r="M302" s="93" t="s">
        <v>61</v>
      </c>
      <c r="N302" s="93"/>
    </row>
    <row r="303" ht="18.0" customHeight="1">
      <c r="A303" s="99">
        <v>300.0</v>
      </c>
      <c r="B303" s="99"/>
      <c r="C303" s="99"/>
      <c r="D303" s="99"/>
      <c r="E303" s="99"/>
      <c r="F303" s="99"/>
      <c r="G303" s="99"/>
      <c r="H303" s="99" t="s">
        <v>545</v>
      </c>
      <c r="I303" s="99" t="s">
        <v>81</v>
      </c>
      <c r="J303" s="99"/>
      <c r="K303" s="99"/>
      <c r="L303" s="99"/>
      <c r="M303" s="99" t="s">
        <v>61</v>
      </c>
      <c r="N303" s="99"/>
    </row>
    <row r="304" ht="18.0" customHeight="1">
      <c r="A304" s="93">
        <v>301.0</v>
      </c>
      <c r="B304" s="93"/>
      <c r="C304" s="93"/>
      <c r="D304" s="93"/>
      <c r="E304" s="93"/>
      <c r="F304" s="93"/>
      <c r="G304" s="93"/>
      <c r="H304" s="93" t="s">
        <v>545</v>
      </c>
      <c r="I304" s="93" t="s">
        <v>81</v>
      </c>
      <c r="J304" s="93"/>
      <c r="K304" s="93"/>
      <c r="L304" s="93"/>
      <c r="M304" s="93" t="s">
        <v>61</v>
      </c>
      <c r="N304" s="93"/>
    </row>
    <row r="305" ht="18.0" customHeight="1">
      <c r="A305" s="99">
        <v>302.0</v>
      </c>
      <c r="B305" s="99"/>
      <c r="C305" s="99"/>
      <c r="D305" s="99"/>
      <c r="E305" s="99"/>
      <c r="F305" s="99"/>
      <c r="G305" s="99"/>
      <c r="H305" s="99" t="s">
        <v>545</v>
      </c>
      <c r="I305" s="99" t="s">
        <v>81</v>
      </c>
      <c r="J305" s="99"/>
      <c r="K305" s="99"/>
      <c r="L305" s="99"/>
      <c r="M305" s="99" t="s">
        <v>61</v>
      </c>
      <c r="N305" s="99"/>
    </row>
    <row r="306" ht="18.0" customHeight="1">
      <c r="A306" s="93">
        <v>303.0</v>
      </c>
      <c r="B306" s="93"/>
      <c r="C306" s="93"/>
      <c r="D306" s="93"/>
      <c r="E306" s="93"/>
      <c r="F306" s="93"/>
      <c r="G306" s="93"/>
      <c r="H306" s="93" t="s">
        <v>545</v>
      </c>
      <c r="I306" s="93" t="s">
        <v>81</v>
      </c>
      <c r="J306" s="93"/>
      <c r="K306" s="93"/>
      <c r="L306" s="93"/>
      <c r="M306" s="93" t="s">
        <v>61</v>
      </c>
      <c r="N306" s="93"/>
    </row>
    <row r="307" ht="18.0" customHeight="1">
      <c r="A307" s="99">
        <v>304.0</v>
      </c>
      <c r="B307" s="99"/>
      <c r="C307" s="99"/>
      <c r="D307" s="99"/>
      <c r="E307" s="99"/>
      <c r="F307" s="99"/>
      <c r="G307" s="99"/>
      <c r="H307" s="99" t="s">
        <v>545</v>
      </c>
      <c r="I307" s="99" t="s">
        <v>81</v>
      </c>
      <c r="J307" s="99"/>
      <c r="K307" s="99"/>
      <c r="L307" s="99"/>
      <c r="M307" s="99" t="s">
        <v>61</v>
      </c>
      <c r="N307" s="99"/>
    </row>
    <row r="308" ht="18.0" customHeight="1">
      <c r="A308" s="93">
        <v>305.0</v>
      </c>
      <c r="B308" s="93"/>
      <c r="C308" s="93"/>
      <c r="D308" s="93"/>
      <c r="E308" s="93"/>
      <c r="F308" s="93"/>
      <c r="G308" s="93"/>
      <c r="H308" s="93" t="s">
        <v>545</v>
      </c>
      <c r="I308" s="93" t="s">
        <v>81</v>
      </c>
      <c r="J308" s="93"/>
      <c r="K308" s="93"/>
      <c r="L308" s="93"/>
      <c r="M308" s="93" t="s">
        <v>61</v>
      </c>
      <c r="N308" s="93"/>
    </row>
    <row r="309" ht="18.0" customHeight="1">
      <c r="A309" s="99">
        <v>306.0</v>
      </c>
      <c r="B309" s="99"/>
      <c r="C309" s="99"/>
      <c r="D309" s="99"/>
      <c r="E309" s="99"/>
      <c r="F309" s="99"/>
      <c r="G309" s="99"/>
      <c r="H309" s="99" t="s">
        <v>545</v>
      </c>
      <c r="I309" s="99" t="s">
        <v>81</v>
      </c>
      <c r="J309" s="99"/>
      <c r="K309" s="99"/>
      <c r="L309" s="99"/>
      <c r="M309" s="99" t="s">
        <v>61</v>
      </c>
      <c r="N309" s="99"/>
    </row>
    <row r="310" ht="18.0" customHeight="1">
      <c r="A310" s="93">
        <v>307.0</v>
      </c>
      <c r="B310" s="93"/>
      <c r="C310" s="93"/>
      <c r="D310" s="93"/>
      <c r="E310" s="93"/>
      <c r="F310" s="93"/>
      <c r="G310" s="93"/>
      <c r="H310" s="93" t="s">
        <v>545</v>
      </c>
      <c r="I310" s="93" t="s">
        <v>81</v>
      </c>
      <c r="J310" s="93"/>
      <c r="K310" s="93"/>
      <c r="L310" s="93"/>
      <c r="M310" s="93" t="s">
        <v>61</v>
      </c>
      <c r="N310" s="93"/>
    </row>
    <row r="311" ht="18.0" customHeight="1">
      <c r="A311" s="99">
        <v>308.0</v>
      </c>
      <c r="B311" s="99"/>
      <c r="C311" s="99"/>
      <c r="D311" s="99"/>
      <c r="E311" s="99"/>
      <c r="F311" s="99"/>
      <c r="G311" s="99"/>
      <c r="H311" s="99" t="s">
        <v>545</v>
      </c>
      <c r="I311" s="99" t="s">
        <v>81</v>
      </c>
      <c r="J311" s="99"/>
      <c r="K311" s="99"/>
      <c r="L311" s="99"/>
      <c r="M311" s="99" t="s">
        <v>61</v>
      </c>
      <c r="N311" s="99"/>
    </row>
    <row r="312" ht="18.0" customHeight="1">
      <c r="A312" s="93">
        <v>309.0</v>
      </c>
      <c r="B312" s="93"/>
      <c r="C312" s="93"/>
      <c r="D312" s="93"/>
      <c r="E312" s="93"/>
      <c r="F312" s="93"/>
      <c r="G312" s="93"/>
      <c r="H312" s="93" t="s">
        <v>545</v>
      </c>
      <c r="I312" s="93" t="s">
        <v>81</v>
      </c>
      <c r="J312" s="93"/>
      <c r="K312" s="93"/>
      <c r="L312" s="93"/>
      <c r="M312" s="93" t="s">
        <v>61</v>
      </c>
      <c r="N312" s="93"/>
    </row>
    <row r="313" ht="18.0" customHeight="1">
      <c r="A313" s="99">
        <v>310.0</v>
      </c>
      <c r="B313" s="99"/>
      <c r="C313" s="99"/>
      <c r="D313" s="99"/>
      <c r="E313" s="99"/>
      <c r="F313" s="99"/>
      <c r="G313" s="99"/>
      <c r="H313" s="99" t="s">
        <v>545</v>
      </c>
      <c r="I313" s="99" t="s">
        <v>81</v>
      </c>
      <c r="J313" s="99"/>
      <c r="K313" s="99"/>
      <c r="L313" s="99"/>
      <c r="M313" s="99" t="s">
        <v>61</v>
      </c>
      <c r="N313" s="99"/>
    </row>
    <row r="314" ht="18.0" customHeight="1">
      <c r="A314" s="93">
        <v>311.0</v>
      </c>
      <c r="B314" s="93"/>
      <c r="C314" s="93"/>
      <c r="D314" s="93"/>
      <c r="E314" s="93"/>
      <c r="F314" s="93"/>
      <c r="G314" s="93"/>
      <c r="H314" s="93" t="s">
        <v>545</v>
      </c>
      <c r="I314" s="93" t="s">
        <v>81</v>
      </c>
      <c r="J314" s="93"/>
      <c r="K314" s="93"/>
      <c r="L314" s="93"/>
      <c r="M314" s="93" t="s">
        <v>61</v>
      </c>
      <c r="N314" s="93"/>
    </row>
    <row r="315" ht="18.0" customHeight="1">
      <c r="A315" s="99">
        <v>312.0</v>
      </c>
      <c r="B315" s="99"/>
      <c r="C315" s="99"/>
      <c r="D315" s="99"/>
      <c r="E315" s="99"/>
      <c r="F315" s="99"/>
      <c r="G315" s="99"/>
      <c r="H315" s="99" t="s">
        <v>545</v>
      </c>
      <c r="I315" s="99" t="s">
        <v>81</v>
      </c>
      <c r="J315" s="99"/>
      <c r="K315" s="99"/>
      <c r="L315" s="99"/>
      <c r="M315" s="99" t="s">
        <v>61</v>
      </c>
      <c r="N315" s="99"/>
    </row>
    <row r="316" ht="18.0" customHeight="1">
      <c r="A316" s="93">
        <v>313.0</v>
      </c>
      <c r="B316" s="93"/>
      <c r="C316" s="93"/>
      <c r="D316" s="93"/>
      <c r="E316" s="93"/>
      <c r="F316" s="93"/>
      <c r="G316" s="93"/>
      <c r="H316" s="93" t="s">
        <v>545</v>
      </c>
      <c r="I316" s="93" t="s">
        <v>81</v>
      </c>
      <c r="J316" s="93"/>
      <c r="K316" s="93"/>
      <c r="L316" s="93"/>
      <c r="M316" s="93" t="s">
        <v>61</v>
      </c>
      <c r="N316" s="93"/>
    </row>
    <row r="317" ht="18.0" customHeight="1">
      <c r="A317" s="99">
        <v>314.0</v>
      </c>
      <c r="B317" s="99"/>
      <c r="C317" s="99"/>
      <c r="D317" s="99"/>
      <c r="E317" s="99"/>
      <c r="F317" s="99"/>
      <c r="G317" s="99"/>
      <c r="H317" s="99" t="s">
        <v>545</v>
      </c>
      <c r="I317" s="99" t="s">
        <v>81</v>
      </c>
      <c r="J317" s="99"/>
      <c r="K317" s="99"/>
      <c r="L317" s="99"/>
      <c r="M317" s="99" t="s">
        <v>61</v>
      </c>
      <c r="N317" s="99"/>
    </row>
    <row r="318" ht="18.0" customHeight="1">
      <c r="A318" s="93">
        <v>315.0</v>
      </c>
      <c r="B318" s="93"/>
      <c r="C318" s="93"/>
      <c r="D318" s="93"/>
      <c r="E318" s="93"/>
      <c r="F318" s="93"/>
      <c r="G318" s="93"/>
      <c r="H318" s="93" t="s">
        <v>545</v>
      </c>
      <c r="I318" s="93" t="s">
        <v>81</v>
      </c>
      <c r="J318" s="93"/>
      <c r="K318" s="93"/>
      <c r="L318" s="93"/>
      <c r="M318" s="93" t="s">
        <v>61</v>
      </c>
      <c r="N318" s="93"/>
    </row>
    <row r="319" ht="18.0" customHeight="1">
      <c r="A319" s="99">
        <v>316.0</v>
      </c>
      <c r="B319" s="99"/>
      <c r="C319" s="99"/>
      <c r="D319" s="99"/>
      <c r="E319" s="99"/>
      <c r="F319" s="99"/>
      <c r="G319" s="99"/>
      <c r="H319" s="99" t="s">
        <v>545</v>
      </c>
      <c r="I319" s="99" t="s">
        <v>81</v>
      </c>
      <c r="J319" s="99"/>
      <c r="K319" s="99"/>
      <c r="L319" s="99"/>
      <c r="M319" s="99" t="s">
        <v>61</v>
      </c>
      <c r="N319" s="99"/>
    </row>
    <row r="320" ht="18.0" customHeight="1">
      <c r="A320" s="93">
        <v>317.0</v>
      </c>
      <c r="B320" s="93"/>
      <c r="C320" s="93"/>
      <c r="D320" s="93"/>
      <c r="E320" s="93"/>
      <c r="F320" s="93"/>
      <c r="G320" s="93"/>
      <c r="H320" s="93" t="s">
        <v>545</v>
      </c>
      <c r="I320" s="93" t="s">
        <v>81</v>
      </c>
      <c r="J320" s="93"/>
      <c r="K320" s="93"/>
      <c r="L320" s="93"/>
      <c r="M320" s="93" t="s">
        <v>61</v>
      </c>
      <c r="N320" s="93"/>
    </row>
    <row r="321" ht="18.0" customHeight="1">
      <c r="A321" s="99">
        <v>318.0</v>
      </c>
      <c r="B321" s="99"/>
      <c r="C321" s="99"/>
      <c r="D321" s="99"/>
      <c r="E321" s="99"/>
      <c r="F321" s="99"/>
      <c r="G321" s="99"/>
      <c r="H321" s="99" t="s">
        <v>545</v>
      </c>
      <c r="I321" s="99" t="s">
        <v>81</v>
      </c>
      <c r="J321" s="99"/>
      <c r="K321" s="99"/>
      <c r="L321" s="99"/>
      <c r="M321" s="99" t="s">
        <v>61</v>
      </c>
      <c r="N321" s="99"/>
    </row>
    <row r="322" ht="18.0" customHeight="1">
      <c r="A322" s="93">
        <v>319.0</v>
      </c>
      <c r="B322" s="93"/>
      <c r="C322" s="93"/>
      <c r="D322" s="93"/>
      <c r="E322" s="93"/>
      <c r="F322" s="93"/>
      <c r="G322" s="93"/>
      <c r="H322" s="93" t="s">
        <v>545</v>
      </c>
      <c r="I322" s="93" t="s">
        <v>81</v>
      </c>
      <c r="J322" s="93"/>
      <c r="K322" s="93"/>
      <c r="L322" s="93"/>
      <c r="M322" s="93" t="s">
        <v>61</v>
      </c>
      <c r="N322" s="93"/>
    </row>
    <row r="323" ht="18.0" customHeight="1">
      <c r="A323" s="99">
        <v>320.0</v>
      </c>
      <c r="B323" s="99"/>
      <c r="C323" s="99"/>
      <c r="D323" s="99"/>
      <c r="E323" s="99"/>
      <c r="F323" s="99"/>
      <c r="G323" s="99"/>
      <c r="H323" s="99" t="s">
        <v>545</v>
      </c>
      <c r="I323" s="99" t="s">
        <v>81</v>
      </c>
      <c r="J323" s="99"/>
      <c r="K323" s="99"/>
      <c r="L323" s="99"/>
      <c r="M323" s="99" t="s">
        <v>61</v>
      </c>
      <c r="N323" s="99"/>
    </row>
    <row r="324" ht="18.0" customHeight="1">
      <c r="A324" s="93">
        <v>321.0</v>
      </c>
      <c r="B324" s="93"/>
      <c r="C324" s="93"/>
      <c r="D324" s="93"/>
      <c r="E324" s="93"/>
      <c r="F324" s="93"/>
      <c r="G324" s="93"/>
      <c r="H324" s="93" t="s">
        <v>545</v>
      </c>
      <c r="I324" s="93" t="s">
        <v>81</v>
      </c>
      <c r="J324" s="93"/>
      <c r="K324" s="93"/>
      <c r="L324" s="93"/>
      <c r="M324" s="93" t="s">
        <v>61</v>
      </c>
      <c r="N324" s="93"/>
    </row>
    <row r="325" ht="18.0" customHeight="1">
      <c r="A325" s="99">
        <v>322.0</v>
      </c>
      <c r="B325" s="99"/>
      <c r="C325" s="99"/>
      <c r="D325" s="99"/>
      <c r="E325" s="99"/>
      <c r="F325" s="99"/>
      <c r="G325" s="99"/>
      <c r="H325" s="99" t="s">
        <v>545</v>
      </c>
      <c r="I325" s="99" t="s">
        <v>81</v>
      </c>
      <c r="J325" s="99"/>
      <c r="K325" s="99"/>
      <c r="L325" s="99"/>
      <c r="M325" s="99" t="s">
        <v>61</v>
      </c>
      <c r="N325" s="99"/>
    </row>
    <row r="326" ht="18.0" customHeight="1">
      <c r="A326" s="93">
        <v>323.0</v>
      </c>
      <c r="B326" s="93"/>
      <c r="C326" s="93"/>
      <c r="D326" s="93"/>
      <c r="E326" s="93"/>
      <c r="F326" s="93"/>
      <c r="G326" s="93"/>
      <c r="H326" s="93" t="s">
        <v>545</v>
      </c>
      <c r="I326" s="93" t="s">
        <v>81</v>
      </c>
      <c r="J326" s="93"/>
      <c r="K326" s="93"/>
      <c r="L326" s="93"/>
      <c r="M326" s="93" t="s">
        <v>61</v>
      </c>
      <c r="N326" s="93"/>
    </row>
    <row r="327" ht="18.0" customHeight="1">
      <c r="A327" s="99">
        <v>324.0</v>
      </c>
      <c r="B327" s="99"/>
      <c r="C327" s="99"/>
      <c r="D327" s="99"/>
      <c r="E327" s="99"/>
      <c r="F327" s="99"/>
      <c r="G327" s="99"/>
      <c r="H327" s="99" t="s">
        <v>545</v>
      </c>
      <c r="I327" s="99" t="s">
        <v>81</v>
      </c>
      <c r="J327" s="99"/>
      <c r="K327" s="99"/>
      <c r="L327" s="99"/>
      <c r="M327" s="99" t="s">
        <v>61</v>
      </c>
      <c r="N327" s="99"/>
    </row>
    <row r="328" ht="18.0" customHeight="1">
      <c r="A328" s="93">
        <v>325.0</v>
      </c>
      <c r="B328" s="93"/>
      <c r="C328" s="93"/>
      <c r="D328" s="93"/>
      <c r="E328" s="93"/>
      <c r="F328" s="93"/>
      <c r="G328" s="93"/>
      <c r="H328" s="93" t="s">
        <v>545</v>
      </c>
      <c r="I328" s="93" t="s">
        <v>81</v>
      </c>
      <c r="J328" s="93"/>
      <c r="K328" s="93"/>
      <c r="L328" s="93"/>
      <c r="M328" s="93" t="s">
        <v>61</v>
      </c>
      <c r="N328" s="93"/>
    </row>
    <row r="329" ht="18.0" customHeight="1">
      <c r="A329" s="99">
        <v>326.0</v>
      </c>
      <c r="B329" s="99"/>
      <c r="C329" s="99"/>
      <c r="D329" s="99"/>
      <c r="E329" s="99"/>
      <c r="F329" s="99"/>
      <c r="G329" s="99"/>
      <c r="H329" s="99" t="s">
        <v>545</v>
      </c>
      <c r="I329" s="99" t="s">
        <v>81</v>
      </c>
      <c r="J329" s="99"/>
      <c r="K329" s="99"/>
      <c r="L329" s="99"/>
      <c r="M329" s="99" t="s">
        <v>61</v>
      </c>
      <c r="N329" s="99"/>
    </row>
    <row r="330" ht="18.0" customHeight="1">
      <c r="A330" s="93">
        <v>327.0</v>
      </c>
      <c r="B330" s="93"/>
      <c r="C330" s="93"/>
      <c r="D330" s="93"/>
      <c r="E330" s="93"/>
      <c r="F330" s="93"/>
      <c r="G330" s="93"/>
      <c r="H330" s="93" t="s">
        <v>545</v>
      </c>
      <c r="I330" s="93" t="s">
        <v>81</v>
      </c>
      <c r="J330" s="93"/>
      <c r="K330" s="93"/>
      <c r="L330" s="93"/>
      <c r="M330" s="93" t="s">
        <v>61</v>
      </c>
      <c r="N330" s="93"/>
    </row>
    <row r="331" ht="18.0" customHeight="1">
      <c r="A331" s="99">
        <v>328.0</v>
      </c>
      <c r="B331" s="99"/>
      <c r="C331" s="99"/>
      <c r="D331" s="99"/>
      <c r="E331" s="99"/>
      <c r="F331" s="99"/>
      <c r="G331" s="99"/>
      <c r="H331" s="99" t="s">
        <v>545</v>
      </c>
      <c r="I331" s="99" t="s">
        <v>81</v>
      </c>
      <c r="J331" s="99"/>
      <c r="K331" s="99"/>
      <c r="L331" s="99"/>
      <c r="M331" s="99" t="s">
        <v>61</v>
      </c>
      <c r="N331" s="99"/>
    </row>
    <row r="332" ht="18.0" customHeight="1">
      <c r="A332" s="93">
        <v>329.0</v>
      </c>
      <c r="B332" s="93"/>
      <c r="C332" s="93"/>
      <c r="D332" s="93"/>
      <c r="E332" s="93"/>
      <c r="F332" s="93"/>
      <c r="G332" s="93"/>
      <c r="H332" s="93" t="s">
        <v>545</v>
      </c>
      <c r="I332" s="93" t="s">
        <v>81</v>
      </c>
      <c r="J332" s="93"/>
      <c r="K332" s="93"/>
      <c r="L332" s="93"/>
      <c r="M332" s="93" t="s">
        <v>61</v>
      </c>
      <c r="N332" s="93"/>
    </row>
    <row r="333" ht="18.0" customHeight="1">
      <c r="A333" s="99">
        <v>330.0</v>
      </c>
      <c r="B333" s="99"/>
      <c r="C333" s="99"/>
      <c r="D333" s="99"/>
      <c r="E333" s="99"/>
      <c r="F333" s="99"/>
      <c r="G333" s="99"/>
      <c r="H333" s="99" t="s">
        <v>545</v>
      </c>
      <c r="I333" s="99" t="s">
        <v>81</v>
      </c>
      <c r="J333" s="99"/>
      <c r="K333" s="99"/>
      <c r="L333" s="99"/>
      <c r="M333" s="99" t="s">
        <v>61</v>
      </c>
      <c r="N333" s="99"/>
    </row>
    <row r="334" ht="18.0" customHeight="1">
      <c r="A334" s="93">
        <v>331.0</v>
      </c>
      <c r="B334" s="93"/>
      <c r="C334" s="93"/>
      <c r="D334" s="93"/>
      <c r="E334" s="93"/>
      <c r="F334" s="93"/>
      <c r="G334" s="93"/>
      <c r="H334" s="93" t="s">
        <v>545</v>
      </c>
      <c r="I334" s="93" t="s">
        <v>81</v>
      </c>
      <c r="J334" s="93"/>
      <c r="K334" s="93"/>
      <c r="L334" s="93"/>
      <c r="M334" s="93" t="s">
        <v>61</v>
      </c>
      <c r="N334" s="93"/>
    </row>
    <row r="335" ht="18.0" customHeight="1">
      <c r="A335" s="99">
        <v>332.0</v>
      </c>
      <c r="B335" s="99"/>
      <c r="C335" s="99"/>
      <c r="D335" s="99"/>
      <c r="E335" s="99"/>
      <c r="F335" s="99"/>
      <c r="G335" s="99"/>
      <c r="H335" s="99" t="s">
        <v>545</v>
      </c>
      <c r="I335" s="99" t="s">
        <v>81</v>
      </c>
      <c r="J335" s="99"/>
      <c r="K335" s="99"/>
      <c r="L335" s="99"/>
      <c r="M335" s="99" t="s">
        <v>61</v>
      </c>
      <c r="N335" s="99"/>
    </row>
    <row r="336" ht="18.0" customHeight="1">
      <c r="A336" s="93">
        <v>333.0</v>
      </c>
      <c r="B336" s="93"/>
      <c r="C336" s="93"/>
      <c r="D336" s="93"/>
      <c r="E336" s="93"/>
      <c r="F336" s="93"/>
      <c r="G336" s="93"/>
      <c r="H336" s="93" t="s">
        <v>545</v>
      </c>
      <c r="I336" s="93" t="s">
        <v>81</v>
      </c>
      <c r="J336" s="93"/>
      <c r="K336" s="93"/>
      <c r="L336" s="93"/>
      <c r="M336" s="93" t="s">
        <v>61</v>
      </c>
      <c r="N336" s="93"/>
    </row>
    <row r="337" ht="18.0" customHeight="1">
      <c r="A337" s="99">
        <v>334.0</v>
      </c>
      <c r="B337" s="99"/>
      <c r="C337" s="99"/>
      <c r="D337" s="99"/>
      <c r="E337" s="99"/>
      <c r="F337" s="99"/>
      <c r="G337" s="99"/>
      <c r="H337" s="99" t="s">
        <v>545</v>
      </c>
      <c r="I337" s="99" t="s">
        <v>81</v>
      </c>
      <c r="J337" s="99"/>
      <c r="K337" s="99"/>
      <c r="L337" s="99"/>
      <c r="M337" s="99" t="s">
        <v>61</v>
      </c>
      <c r="N337" s="99"/>
    </row>
    <row r="338" ht="18.0" customHeight="1">
      <c r="A338" s="93">
        <v>335.0</v>
      </c>
      <c r="B338" s="93"/>
      <c r="C338" s="93"/>
      <c r="D338" s="93"/>
      <c r="E338" s="93"/>
      <c r="F338" s="93"/>
      <c r="G338" s="93"/>
      <c r="H338" s="93" t="s">
        <v>545</v>
      </c>
      <c r="I338" s="93" t="s">
        <v>81</v>
      </c>
      <c r="J338" s="93"/>
      <c r="K338" s="93"/>
      <c r="L338" s="93"/>
      <c r="M338" s="93" t="s">
        <v>61</v>
      </c>
      <c r="N338" s="93"/>
    </row>
    <row r="339" ht="18.0" customHeight="1">
      <c r="A339" s="99">
        <v>336.0</v>
      </c>
      <c r="B339" s="99"/>
      <c r="C339" s="99"/>
      <c r="D339" s="99"/>
      <c r="E339" s="99"/>
      <c r="F339" s="99"/>
      <c r="G339" s="99"/>
      <c r="H339" s="99" t="s">
        <v>545</v>
      </c>
      <c r="I339" s="99" t="s">
        <v>81</v>
      </c>
      <c r="J339" s="99"/>
      <c r="K339" s="99"/>
      <c r="L339" s="99"/>
      <c r="M339" s="99" t="s">
        <v>61</v>
      </c>
      <c r="N339" s="99"/>
    </row>
    <row r="340" ht="18.0" customHeight="1">
      <c r="A340" s="93">
        <v>337.0</v>
      </c>
      <c r="B340" s="93"/>
      <c r="C340" s="93"/>
      <c r="D340" s="93"/>
      <c r="E340" s="93"/>
      <c r="F340" s="93"/>
      <c r="G340" s="93"/>
      <c r="H340" s="93" t="s">
        <v>545</v>
      </c>
      <c r="I340" s="93" t="s">
        <v>81</v>
      </c>
      <c r="J340" s="93"/>
      <c r="K340" s="93"/>
      <c r="L340" s="93"/>
      <c r="M340" s="93" t="s">
        <v>61</v>
      </c>
      <c r="N340" s="93"/>
    </row>
    <row r="341" ht="18.0" customHeight="1">
      <c r="A341" s="99">
        <v>338.0</v>
      </c>
      <c r="B341" s="99"/>
      <c r="C341" s="99"/>
      <c r="D341" s="99"/>
      <c r="E341" s="99"/>
      <c r="F341" s="99"/>
      <c r="G341" s="99"/>
      <c r="H341" s="99" t="s">
        <v>545</v>
      </c>
      <c r="I341" s="99" t="s">
        <v>81</v>
      </c>
      <c r="J341" s="99"/>
      <c r="K341" s="99"/>
      <c r="L341" s="99"/>
      <c r="M341" s="99" t="s">
        <v>61</v>
      </c>
      <c r="N341" s="99"/>
    </row>
    <row r="342" ht="18.0" customHeight="1">
      <c r="A342" s="93">
        <v>339.0</v>
      </c>
      <c r="B342" s="93"/>
      <c r="C342" s="93"/>
      <c r="D342" s="93"/>
      <c r="E342" s="93"/>
      <c r="F342" s="93"/>
      <c r="G342" s="93"/>
      <c r="H342" s="93" t="s">
        <v>545</v>
      </c>
      <c r="I342" s="93" t="s">
        <v>81</v>
      </c>
      <c r="J342" s="93"/>
      <c r="K342" s="93"/>
      <c r="L342" s="93"/>
      <c r="M342" s="93" t="s">
        <v>61</v>
      </c>
      <c r="N342" s="93"/>
    </row>
    <row r="343" ht="18.0" customHeight="1">
      <c r="A343" s="99">
        <v>340.0</v>
      </c>
      <c r="B343" s="99"/>
      <c r="C343" s="99"/>
      <c r="D343" s="99"/>
      <c r="E343" s="99"/>
      <c r="F343" s="99"/>
      <c r="G343" s="99"/>
      <c r="H343" s="99" t="s">
        <v>545</v>
      </c>
      <c r="I343" s="99" t="s">
        <v>81</v>
      </c>
      <c r="J343" s="99"/>
      <c r="K343" s="99"/>
      <c r="L343" s="99"/>
      <c r="M343" s="99" t="s">
        <v>61</v>
      </c>
      <c r="N343" s="99"/>
    </row>
    <row r="344" ht="18.0" customHeight="1">
      <c r="A344" s="93">
        <v>341.0</v>
      </c>
      <c r="B344" s="93"/>
      <c r="C344" s="93"/>
      <c r="D344" s="93"/>
      <c r="E344" s="93"/>
      <c r="F344" s="93"/>
      <c r="G344" s="93"/>
      <c r="H344" s="93" t="s">
        <v>545</v>
      </c>
      <c r="I344" s="93" t="s">
        <v>81</v>
      </c>
      <c r="J344" s="93"/>
      <c r="K344" s="93"/>
      <c r="L344" s="93"/>
      <c r="M344" s="93" t="s">
        <v>61</v>
      </c>
      <c r="N344" s="93"/>
    </row>
    <row r="345" ht="18.0" customHeight="1">
      <c r="A345" s="99">
        <v>342.0</v>
      </c>
      <c r="B345" s="99"/>
      <c r="C345" s="99"/>
      <c r="D345" s="99"/>
      <c r="E345" s="99"/>
      <c r="F345" s="99"/>
      <c r="G345" s="99"/>
      <c r="H345" s="99" t="s">
        <v>545</v>
      </c>
      <c r="I345" s="99" t="s">
        <v>81</v>
      </c>
      <c r="J345" s="99"/>
      <c r="K345" s="99"/>
      <c r="L345" s="99"/>
      <c r="M345" s="99" t="s">
        <v>61</v>
      </c>
      <c r="N345" s="99"/>
    </row>
    <row r="346" ht="18.0" customHeight="1">
      <c r="A346" s="93">
        <v>343.0</v>
      </c>
      <c r="B346" s="93"/>
      <c r="C346" s="93"/>
      <c r="D346" s="93"/>
      <c r="E346" s="93"/>
      <c r="F346" s="93"/>
      <c r="G346" s="93"/>
      <c r="H346" s="93" t="s">
        <v>545</v>
      </c>
      <c r="I346" s="93" t="s">
        <v>81</v>
      </c>
      <c r="J346" s="93"/>
      <c r="K346" s="93"/>
      <c r="L346" s="93"/>
      <c r="M346" s="93" t="s">
        <v>61</v>
      </c>
      <c r="N346" s="93"/>
    </row>
    <row r="347" ht="18.0" customHeight="1">
      <c r="A347" s="99">
        <v>344.0</v>
      </c>
      <c r="B347" s="99"/>
      <c r="C347" s="99"/>
      <c r="D347" s="99"/>
      <c r="E347" s="99"/>
      <c r="F347" s="99"/>
      <c r="G347" s="99"/>
      <c r="H347" s="99" t="s">
        <v>545</v>
      </c>
      <c r="I347" s="99" t="s">
        <v>81</v>
      </c>
      <c r="J347" s="99"/>
      <c r="K347" s="99"/>
      <c r="L347" s="99"/>
      <c r="M347" s="99" t="s">
        <v>61</v>
      </c>
      <c r="N347" s="99"/>
    </row>
    <row r="348" ht="18.0" customHeight="1">
      <c r="A348" s="93">
        <v>345.0</v>
      </c>
      <c r="B348" s="93"/>
      <c r="C348" s="93"/>
      <c r="D348" s="93"/>
      <c r="E348" s="93"/>
      <c r="F348" s="93"/>
      <c r="G348" s="93"/>
      <c r="H348" s="93" t="s">
        <v>545</v>
      </c>
      <c r="I348" s="93" t="s">
        <v>81</v>
      </c>
      <c r="J348" s="93"/>
      <c r="K348" s="93"/>
      <c r="L348" s="93"/>
      <c r="M348" s="93" t="s">
        <v>61</v>
      </c>
      <c r="N348" s="93"/>
    </row>
    <row r="349" ht="18.0" customHeight="1">
      <c r="A349" s="99">
        <v>346.0</v>
      </c>
      <c r="B349" s="99"/>
      <c r="C349" s="99"/>
      <c r="D349" s="99"/>
      <c r="E349" s="99"/>
      <c r="F349" s="99"/>
      <c r="G349" s="99"/>
      <c r="H349" s="99" t="s">
        <v>545</v>
      </c>
      <c r="I349" s="99" t="s">
        <v>81</v>
      </c>
      <c r="J349" s="99"/>
      <c r="K349" s="99"/>
      <c r="L349" s="99"/>
      <c r="M349" s="99" t="s">
        <v>61</v>
      </c>
      <c r="N349" s="99"/>
    </row>
    <row r="350" ht="18.0" customHeight="1">
      <c r="A350" s="93">
        <v>347.0</v>
      </c>
      <c r="B350" s="93"/>
      <c r="C350" s="93"/>
      <c r="D350" s="93"/>
      <c r="E350" s="93"/>
      <c r="F350" s="93"/>
      <c r="G350" s="93"/>
      <c r="H350" s="93" t="s">
        <v>545</v>
      </c>
      <c r="I350" s="93" t="s">
        <v>81</v>
      </c>
      <c r="J350" s="93"/>
      <c r="K350" s="93"/>
      <c r="L350" s="93"/>
      <c r="M350" s="93" t="s">
        <v>61</v>
      </c>
      <c r="N350" s="93"/>
    </row>
    <row r="351" ht="18.0" customHeight="1">
      <c r="A351" s="99">
        <v>348.0</v>
      </c>
      <c r="B351" s="99"/>
      <c r="C351" s="99"/>
      <c r="D351" s="99"/>
      <c r="E351" s="99"/>
      <c r="F351" s="99"/>
      <c r="G351" s="99"/>
      <c r="H351" s="99" t="s">
        <v>545</v>
      </c>
      <c r="I351" s="99" t="s">
        <v>81</v>
      </c>
      <c r="J351" s="99"/>
      <c r="K351" s="99"/>
      <c r="L351" s="99"/>
      <c r="M351" s="99" t="s">
        <v>61</v>
      </c>
      <c r="N351" s="99"/>
    </row>
    <row r="352" ht="18.0" customHeight="1">
      <c r="A352" s="93">
        <v>349.0</v>
      </c>
      <c r="B352" s="93"/>
      <c r="C352" s="93"/>
      <c r="D352" s="93"/>
      <c r="E352" s="93"/>
      <c r="F352" s="93"/>
      <c r="G352" s="93"/>
      <c r="H352" s="93" t="s">
        <v>545</v>
      </c>
      <c r="I352" s="93" t="s">
        <v>81</v>
      </c>
      <c r="J352" s="93"/>
      <c r="K352" s="93"/>
      <c r="L352" s="93"/>
      <c r="M352" s="93" t="s">
        <v>61</v>
      </c>
      <c r="N352" s="93"/>
    </row>
    <row r="353" ht="18.0" customHeight="1">
      <c r="A353" s="99">
        <v>350.0</v>
      </c>
      <c r="B353" s="99"/>
      <c r="C353" s="99"/>
      <c r="D353" s="99"/>
      <c r="E353" s="99"/>
      <c r="F353" s="99"/>
      <c r="G353" s="99"/>
      <c r="H353" s="99" t="s">
        <v>545</v>
      </c>
      <c r="I353" s="99" t="s">
        <v>81</v>
      </c>
      <c r="J353" s="99"/>
      <c r="K353" s="99"/>
      <c r="L353" s="99"/>
      <c r="M353" s="99" t="s">
        <v>61</v>
      </c>
      <c r="N353" s="99"/>
    </row>
    <row r="354" ht="18.0" customHeight="1">
      <c r="A354" s="93">
        <v>351.0</v>
      </c>
      <c r="B354" s="93"/>
      <c r="C354" s="93"/>
      <c r="D354" s="93"/>
      <c r="E354" s="93"/>
      <c r="F354" s="93"/>
      <c r="G354" s="93"/>
      <c r="H354" s="93" t="s">
        <v>545</v>
      </c>
      <c r="I354" s="93" t="s">
        <v>81</v>
      </c>
      <c r="J354" s="93"/>
      <c r="K354" s="93"/>
      <c r="L354" s="93"/>
      <c r="M354" s="93" t="s">
        <v>61</v>
      </c>
      <c r="N354" s="93"/>
    </row>
    <row r="355" ht="18.0" customHeight="1">
      <c r="A355" s="99">
        <v>352.0</v>
      </c>
      <c r="B355" s="99"/>
      <c r="C355" s="99"/>
      <c r="D355" s="99"/>
      <c r="E355" s="99"/>
      <c r="F355" s="99"/>
      <c r="G355" s="99"/>
      <c r="H355" s="99" t="s">
        <v>545</v>
      </c>
      <c r="I355" s="99" t="s">
        <v>81</v>
      </c>
      <c r="J355" s="99"/>
      <c r="K355" s="99"/>
      <c r="L355" s="99"/>
      <c r="M355" s="99" t="s">
        <v>61</v>
      </c>
      <c r="N355" s="99"/>
    </row>
    <row r="356" ht="18.0" customHeight="1">
      <c r="A356" s="93">
        <v>353.0</v>
      </c>
      <c r="B356" s="93"/>
      <c r="C356" s="93"/>
      <c r="D356" s="93"/>
      <c r="E356" s="93"/>
      <c r="F356" s="93"/>
      <c r="G356" s="93"/>
      <c r="H356" s="93" t="s">
        <v>545</v>
      </c>
      <c r="I356" s="93" t="s">
        <v>81</v>
      </c>
      <c r="J356" s="93"/>
      <c r="K356" s="93"/>
      <c r="L356" s="93"/>
      <c r="M356" s="93" t="s">
        <v>61</v>
      </c>
      <c r="N356" s="93"/>
    </row>
    <row r="357" ht="18.0" customHeight="1">
      <c r="A357" s="99">
        <v>354.0</v>
      </c>
      <c r="B357" s="99"/>
      <c r="C357" s="99"/>
      <c r="D357" s="99"/>
      <c r="E357" s="99"/>
      <c r="F357" s="99"/>
      <c r="G357" s="99"/>
      <c r="H357" s="99" t="s">
        <v>545</v>
      </c>
      <c r="I357" s="99" t="s">
        <v>81</v>
      </c>
      <c r="J357" s="99"/>
      <c r="K357" s="99"/>
      <c r="L357" s="99"/>
      <c r="M357" s="99" t="s">
        <v>61</v>
      </c>
      <c r="N357" s="99"/>
    </row>
    <row r="358" ht="18.0" customHeight="1">
      <c r="A358" s="93">
        <v>355.0</v>
      </c>
      <c r="B358" s="93"/>
      <c r="C358" s="93"/>
      <c r="D358" s="93"/>
      <c r="E358" s="93"/>
      <c r="F358" s="93"/>
      <c r="G358" s="93"/>
      <c r="H358" s="93" t="s">
        <v>545</v>
      </c>
      <c r="I358" s="93" t="s">
        <v>81</v>
      </c>
      <c r="J358" s="93"/>
      <c r="K358" s="93"/>
      <c r="L358" s="93"/>
      <c r="M358" s="93" t="s">
        <v>61</v>
      </c>
      <c r="N358" s="93"/>
    </row>
    <row r="359" ht="18.0" customHeight="1">
      <c r="A359" s="99">
        <v>356.0</v>
      </c>
      <c r="B359" s="99"/>
      <c r="C359" s="99"/>
      <c r="D359" s="99"/>
      <c r="E359" s="99"/>
      <c r="F359" s="99"/>
      <c r="G359" s="99"/>
      <c r="H359" s="99" t="s">
        <v>545</v>
      </c>
      <c r="I359" s="99" t="s">
        <v>81</v>
      </c>
      <c r="J359" s="99"/>
      <c r="K359" s="99"/>
      <c r="L359" s="99"/>
      <c r="M359" s="99" t="s">
        <v>61</v>
      </c>
      <c r="N359" s="99"/>
    </row>
    <row r="360" ht="18.0" customHeight="1">
      <c r="A360" s="93">
        <v>357.0</v>
      </c>
      <c r="B360" s="93"/>
      <c r="C360" s="93"/>
      <c r="D360" s="93"/>
      <c r="E360" s="93"/>
      <c r="F360" s="93"/>
      <c r="G360" s="93"/>
      <c r="H360" s="93" t="s">
        <v>545</v>
      </c>
      <c r="I360" s="93" t="s">
        <v>81</v>
      </c>
      <c r="J360" s="93"/>
      <c r="K360" s="93"/>
      <c r="L360" s="93"/>
      <c r="M360" s="93" t="s">
        <v>61</v>
      </c>
      <c r="N360" s="93"/>
    </row>
    <row r="361" ht="18.0" customHeight="1">
      <c r="A361" s="99">
        <v>358.0</v>
      </c>
      <c r="B361" s="99"/>
      <c r="C361" s="99"/>
      <c r="D361" s="99"/>
      <c r="E361" s="99"/>
      <c r="F361" s="99"/>
      <c r="G361" s="99"/>
      <c r="H361" s="99" t="s">
        <v>545</v>
      </c>
      <c r="I361" s="99" t="s">
        <v>81</v>
      </c>
      <c r="J361" s="99"/>
      <c r="K361" s="99"/>
      <c r="L361" s="99"/>
      <c r="M361" s="99" t="s">
        <v>61</v>
      </c>
      <c r="N361" s="99"/>
    </row>
    <row r="362" ht="18.0" customHeight="1">
      <c r="A362" s="93">
        <v>359.0</v>
      </c>
      <c r="B362" s="93"/>
      <c r="C362" s="93"/>
      <c r="D362" s="93"/>
      <c r="E362" s="93"/>
      <c r="F362" s="93"/>
      <c r="G362" s="93"/>
      <c r="H362" s="93" t="s">
        <v>545</v>
      </c>
      <c r="I362" s="93" t="s">
        <v>81</v>
      </c>
      <c r="J362" s="93"/>
      <c r="K362" s="93"/>
      <c r="L362" s="93"/>
      <c r="M362" s="93" t="s">
        <v>61</v>
      </c>
      <c r="N362" s="93"/>
    </row>
    <row r="363" ht="18.0" customHeight="1">
      <c r="A363" s="99">
        <v>360.0</v>
      </c>
      <c r="B363" s="99"/>
      <c r="C363" s="99"/>
      <c r="D363" s="99"/>
      <c r="E363" s="99"/>
      <c r="F363" s="99"/>
      <c r="G363" s="99"/>
      <c r="H363" s="99" t="s">
        <v>545</v>
      </c>
      <c r="I363" s="99" t="s">
        <v>81</v>
      </c>
      <c r="J363" s="99"/>
      <c r="K363" s="99"/>
      <c r="L363" s="99"/>
      <c r="M363" s="99" t="s">
        <v>61</v>
      </c>
      <c r="N363" s="99"/>
    </row>
    <row r="364" ht="18.0" customHeight="1">
      <c r="A364" s="93">
        <v>361.0</v>
      </c>
      <c r="B364" s="93"/>
      <c r="C364" s="93"/>
      <c r="D364" s="93"/>
      <c r="E364" s="93"/>
      <c r="F364" s="93"/>
      <c r="G364" s="93"/>
      <c r="H364" s="93" t="s">
        <v>545</v>
      </c>
      <c r="I364" s="93" t="s">
        <v>81</v>
      </c>
      <c r="J364" s="93"/>
      <c r="K364" s="93"/>
      <c r="L364" s="93"/>
      <c r="M364" s="93" t="s">
        <v>61</v>
      </c>
      <c r="N364" s="93"/>
    </row>
    <row r="365" ht="18.0" customHeight="1">
      <c r="A365" s="99">
        <v>362.0</v>
      </c>
      <c r="B365" s="99"/>
      <c r="C365" s="99"/>
      <c r="D365" s="99"/>
      <c r="E365" s="99"/>
      <c r="F365" s="99"/>
      <c r="G365" s="99"/>
      <c r="H365" s="99" t="s">
        <v>545</v>
      </c>
      <c r="I365" s="99" t="s">
        <v>81</v>
      </c>
      <c r="J365" s="99"/>
      <c r="K365" s="99"/>
      <c r="L365" s="99"/>
      <c r="M365" s="99" t="s">
        <v>61</v>
      </c>
      <c r="N365" s="99"/>
    </row>
    <row r="366" ht="18.0" customHeight="1">
      <c r="A366" s="93">
        <v>363.0</v>
      </c>
      <c r="B366" s="93"/>
      <c r="C366" s="93"/>
      <c r="D366" s="93"/>
      <c r="E366" s="93"/>
      <c r="F366" s="93"/>
      <c r="G366" s="93"/>
      <c r="H366" s="93" t="s">
        <v>545</v>
      </c>
      <c r="I366" s="93" t="s">
        <v>81</v>
      </c>
      <c r="J366" s="93"/>
      <c r="K366" s="93"/>
      <c r="L366" s="93"/>
      <c r="M366" s="93" t="s">
        <v>61</v>
      </c>
      <c r="N366" s="93"/>
    </row>
    <row r="367" ht="18.0" customHeight="1">
      <c r="A367" s="99">
        <v>364.0</v>
      </c>
      <c r="B367" s="99"/>
      <c r="C367" s="99"/>
      <c r="D367" s="99"/>
      <c r="E367" s="99"/>
      <c r="F367" s="99"/>
      <c r="G367" s="99"/>
      <c r="H367" s="99" t="s">
        <v>545</v>
      </c>
      <c r="I367" s="99" t="s">
        <v>81</v>
      </c>
      <c r="J367" s="99"/>
      <c r="K367" s="99"/>
      <c r="L367" s="99"/>
      <c r="M367" s="99" t="s">
        <v>61</v>
      </c>
      <c r="N367" s="99"/>
    </row>
    <row r="368" ht="18.0" customHeight="1">
      <c r="A368" s="93">
        <v>365.0</v>
      </c>
      <c r="B368" s="93"/>
      <c r="C368" s="93"/>
      <c r="D368" s="93"/>
      <c r="E368" s="93"/>
      <c r="F368" s="93"/>
      <c r="G368" s="93"/>
      <c r="H368" s="93" t="s">
        <v>545</v>
      </c>
      <c r="I368" s="93" t="s">
        <v>81</v>
      </c>
      <c r="J368" s="93"/>
      <c r="K368" s="93"/>
      <c r="L368" s="93"/>
      <c r="M368" s="93" t="s">
        <v>61</v>
      </c>
      <c r="N368" s="93"/>
    </row>
    <row r="369" ht="18.0" customHeight="1">
      <c r="A369" s="99">
        <v>366.0</v>
      </c>
      <c r="B369" s="99"/>
      <c r="C369" s="99"/>
      <c r="D369" s="99"/>
      <c r="E369" s="99"/>
      <c r="F369" s="99"/>
      <c r="G369" s="99"/>
      <c r="H369" s="99" t="s">
        <v>545</v>
      </c>
      <c r="I369" s="99" t="s">
        <v>81</v>
      </c>
      <c r="J369" s="99"/>
      <c r="K369" s="99"/>
      <c r="L369" s="99"/>
      <c r="M369" s="99" t="s">
        <v>61</v>
      </c>
      <c r="N369" s="99"/>
    </row>
    <row r="370" ht="18.0" customHeight="1">
      <c r="A370" s="93">
        <v>367.0</v>
      </c>
      <c r="B370" s="93"/>
      <c r="C370" s="93"/>
      <c r="D370" s="93"/>
      <c r="E370" s="93"/>
      <c r="F370" s="93"/>
      <c r="G370" s="93"/>
      <c r="H370" s="93" t="s">
        <v>545</v>
      </c>
      <c r="I370" s="93" t="s">
        <v>81</v>
      </c>
      <c r="J370" s="93"/>
      <c r="K370" s="93"/>
      <c r="L370" s="93"/>
      <c r="M370" s="93" t="s">
        <v>61</v>
      </c>
      <c r="N370" s="93"/>
    </row>
    <row r="371" ht="18.0" customHeight="1">
      <c r="A371" s="99">
        <v>368.0</v>
      </c>
      <c r="B371" s="99"/>
      <c r="C371" s="99"/>
      <c r="D371" s="99"/>
      <c r="E371" s="99"/>
      <c r="F371" s="99"/>
      <c r="G371" s="99"/>
      <c r="H371" s="99" t="s">
        <v>545</v>
      </c>
      <c r="I371" s="99" t="s">
        <v>81</v>
      </c>
      <c r="J371" s="99"/>
      <c r="K371" s="99"/>
      <c r="L371" s="99"/>
      <c r="M371" s="99" t="s">
        <v>61</v>
      </c>
      <c r="N371" s="99"/>
    </row>
    <row r="372" ht="18.0" customHeight="1">
      <c r="A372" s="93">
        <v>369.0</v>
      </c>
      <c r="B372" s="93"/>
      <c r="C372" s="93"/>
      <c r="D372" s="93"/>
      <c r="E372" s="93"/>
      <c r="F372" s="93"/>
      <c r="G372" s="93"/>
      <c r="H372" s="93" t="s">
        <v>545</v>
      </c>
      <c r="I372" s="93" t="s">
        <v>81</v>
      </c>
      <c r="J372" s="93"/>
      <c r="K372" s="93"/>
      <c r="L372" s="93"/>
      <c r="M372" s="93" t="s">
        <v>61</v>
      </c>
      <c r="N372" s="93"/>
    </row>
    <row r="373" ht="18.0" customHeight="1">
      <c r="A373" s="99">
        <v>370.0</v>
      </c>
      <c r="B373" s="99"/>
      <c r="C373" s="99"/>
      <c r="D373" s="99"/>
      <c r="E373" s="99"/>
      <c r="F373" s="99"/>
      <c r="G373" s="99"/>
      <c r="H373" s="99" t="s">
        <v>545</v>
      </c>
      <c r="I373" s="99" t="s">
        <v>81</v>
      </c>
      <c r="J373" s="99"/>
      <c r="K373" s="99"/>
      <c r="L373" s="99"/>
      <c r="M373" s="99" t="s">
        <v>61</v>
      </c>
      <c r="N373" s="99"/>
    </row>
    <row r="374" ht="18.0" customHeight="1">
      <c r="A374" s="93">
        <v>371.0</v>
      </c>
      <c r="B374" s="93"/>
      <c r="C374" s="93"/>
      <c r="D374" s="93"/>
      <c r="E374" s="93"/>
      <c r="F374" s="93"/>
      <c r="G374" s="93"/>
      <c r="H374" s="93" t="s">
        <v>545</v>
      </c>
      <c r="I374" s="93" t="s">
        <v>81</v>
      </c>
      <c r="J374" s="93"/>
      <c r="K374" s="93"/>
      <c r="L374" s="93"/>
      <c r="M374" s="93" t="s">
        <v>61</v>
      </c>
      <c r="N374" s="93"/>
    </row>
    <row r="375" ht="18.0" customHeight="1">
      <c r="A375" s="99">
        <v>372.0</v>
      </c>
      <c r="B375" s="99"/>
      <c r="C375" s="99"/>
      <c r="D375" s="99"/>
      <c r="E375" s="99"/>
      <c r="F375" s="99"/>
      <c r="G375" s="99"/>
      <c r="H375" s="99" t="s">
        <v>545</v>
      </c>
      <c r="I375" s="99" t="s">
        <v>81</v>
      </c>
      <c r="J375" s="99"/>
      <c r="K375" s="99"/>
      <c r="L375" s="99"/>
      <c r="M375" s="99" t="s">
        <v>61</v>
      </c>
      <c r="N375" s="99"/>
    </row>
    <row r="376" ht="18.0" customHeight="1">
      <c r="A376" s="93">
        <v>373.0</v>
      </c>
      <c r="B376" s="93"/>
      <c r="C376" s="93"/>
      <c r="D376" s="93"/>
      <c r="E376" s="93"/>
      <c r="F376" s="93"/>
      <c r="G376" s="93"/>
      <c r="H376" s="93" t="s">
        <v>545</v>
      </c>
      <c r="I376" s="93" t="s">
        <v>81</v>
      </c>
      <c r="J376" s="93"/>
      <c r="K376" s="93"/>
      <c r="L376" s="93"/>
      <c r="M376" s="93" t="s">
        <v>61</v>
      </c>
      <c r="N376" s="93"/>
    </row>
    <row r="377" ht="18.0" customHeight="1">
      <c r="A377" s="99">
        <v>374.0</v>
      </c>
      <c r="B377" s="99"/>
      <c r="C377" s="99"/>
      <c r="D377" s="99"/>
      <c r="E377" s="99"/>
      <c r="F377" s="99"/>
      <c r="G377" s="99"/>
      <c r="H377" s="99" t="s">
        <v>545</v>
      </c>
      <c r="I377" s="99" t="s">
        <v>81</v>
      </c>
      <c r="J377" s="99"/>
      <c r="K377" s="99"/>
      <c r="L377" s="99"/>
      <c r="M377" s="99" t="s">
        <v>61</v>
      </c>
      <c r="N377" s="99"/>
    </row>
    <row r="378" ht="18.0" customHeight="1">
      <c r="A378" s="93">
        <v>375.0</v>
      </c>
      <c r="B378" s="93"/>
      <c r="C378" s="93"/>
      <c r="D378" s="93"/>
      <c r="E378" s="93"/>
      <c r="F378" s="93"/>
      <c r="G378" s="93"/>
      <c r="H378" s="93" t="s">
        <v>545</v>
      </c>
      <c r="I378" s="93" t="s">
        <v>81</v>
      </c>
      <c r="J378" s="93"/>
      <c r="K378" s="93"/>
      <c r="L378" s="93"/>
      <c r="M378" s="93" t="s">
        <v>61</v>
      </c>
      <c r="N378" s="93"/>
    </row>
    <row r="379" ht="18.0" customHeight="1">
      <c r="A379" s="99">
        <v>376.0</v>
      </c>
      <c r="B379" s="99"/>
      <c r="C379" s="99"/>
      <c r="D379" s="99"/>
      <c r="E379" s="99"/>
      <c r="F379" s="99"/>
      <c r="G379" s="99"/>
      <c r="H379" s="99" t="s">
        <v>545</v>
      </c>
      <c r="I379" s="99" t="s">
        <v>81</v>
      </c>
      <c r="J379" s="99"/>
      <c r="K379" s="99"/>
      <c r="L379" s="99"/>
      <c r="M379" s="99" t="s">
        <v>61</v>
      </c>
      <c r="N379" s="99"/>
    </row>
    <row r="380" ht="18.0" customHeight="1">
      <c r="A380" s="93">
        <v>377.0</v>
      </c>
      <c r="B380" s="93"/>
      <c r="C380" s="93"/>
      <c r="D380" s="93"/>
      <c r="E380" s="93"/>
      <c r="F380" s="93"/>
      <c r="G380" s="93"/>
      <c r="H380" s="93" t="s">
        <v>545</v>
      </c>
      <c r="I380" s="93" t="s">
        <v>81</v>
      </c>
      <c r="J380" s="93"/>
      <c r="K380" s="93"/>
      <c r="L380" s="93"/>
      <c r="M380" s="93" t="s">
        <v>61</v>
      </c>
      <c r="N380" s="93"/>
    </row>
    <row r="381" ht="18.0" customHeight="1">
      <c r="A381" s="99">
        <v>378.0</v>
      </c>
      <c r="B381" s="99"/>
      <c r="C381" s="99"/>
      <c r="D381" s="99"/>
      <c r="E381" s="99"/>
      <c r="F381" s="99"/>
      <c r="G381" s="99"/>
      <c r="H381" s="99" t="s">
        <v>545</v>
      </c>
      <c r="I381" s="99" t="s">
        <v>81</v>
      </c>
      <c r="J381" s="99"/>
      <c r="K381" s="99"/>
      <c r="L381" s="99"/>
      <c r="M381" s="99" t="s">
        <v>61</v>
      </c>
      <c r="N381" s="99"/>
    </row>
    <row r="382" ht="18.0" customHeight="1">
      <c r="A382" s="93">
        <v>379.0</v>
      </c>
      <c r="B382" s="93"/>
      <c r="C382" s="93"/>
      <c r="D382" s="93"/>
      <c r="E382" s="93"/>
      <c r="F382" s="93"/>
      <c r="G382" s="93"/>
      <c r="H382" s="93" t="s">
        <v>545</v>
      </c>
      <c r="I382" s="93" t="s">
        <v>81</v>
      </c>
      <c r="J382" s="93"/>
      <c r="K382" s="93"/>
      <c r="L382" s="93"/>
      <c r="M382" s="93" t="s">
        <v>61</v>
      </c>
      <c r="N382" s="93"/>
    </row>
    <row r="383" ht="18.0" customHeight="1">
      <c r="A383" s="99">
        <v>380.0</v>
      </c>
      <c r="B383" s="99"/>
      <c r="C383" s="99"/>
      <c r="D383" s="99"/>
      <c r="E383" s="99"/>
      <c r="F383" s="99"/>
      <c r="G383" s="99"/>
      <c r="H383" s="99" t="s">
        <v>545</v>
      </c>
      <c r="I383" s="99" t="s">
        <v>81</v>
      </c>
      <c r="J383" s="99"/>
      <c r="K383" s="99"/>
      <c r="L383" s="99"/>
      <c r="M383" s="99" t="s">
        <v>61</v>
      </c>
      <c r="N383" s="99"/>
    </row>
    <row r="384" ht="18.0" customHeight="1">
      <c r="A384" s="93">
        <v>381.0</v>
      </c>
      <c r="B384" s="93"/>
      <c r="C384" s="93"/>
      <c r="D384" s="93"/>
      <c r="E384" s="93"/>
      <c r="F384" s="93"/>
      <c r="G384" s="93"/>
      <c r="H384" s="93" t="s">
        <v>545</v>
      </c>
      <c r="I384" s="93" t="s">
        <v>81</v>
      </c>
      <c r="J384" s="93"/>
      <c r="K384" s="93"/>
      <c r="L384" s="93"/>
      <c r="M384" s="93" t="s">
        <v>61</v>
      </c>
      <c r="N384" s="93"/>
    </row>
    <row r="385" ht="18.0" customHeight="1">
      <c r="A385" s="99">
        <v>382.0</v>
      </c>
      <c r="B385" s="99"/>
      <c r="C385" s="99"/>
      <c r="D385" s="99"/>
      <c r="E385" s="99"/>
      <c r="F385" s="99"/>
      <c r="G385" s="99"/>
      <c r="H385" s="99" t="s">
        <v>545</v>
      </c>
      <c r="I385" s="99" t="s">
        <v>81</v>
      </c>
      <c r="J385" s="99"/>
      <c r="K385" s="99"/>
      <c r="L385" s="99"/>
      <c r="M385" s="99" t="s">
        <v>61</v>
      </c>
      <c r="N385" s="99"/>
    </row>
    <row r="386" ht="18.0" customHeight="1">
      <c r="A386" s="93">
        <v>383.0</v>
      </c>
      <c r="B386" s="93"/>
      <c r="C386" s="93"/>
      <c r="D386" s="93"/>
      <c r="E386" s="93"/>
      <c r="F386" s="93"/>
      <c r="G386" s="93"/>
      <c r="H386" s="93" t="s">
        <v>545</v>
      </c>
      <c r="I386" s="93" t="s">
        <v>81</v>
      </c>
      <c r="J386" s="93"/>
      <c r="K386" s="93"/>
      <c r="L386" s="93"/>
      <c r="M386" s="93" t="s">
        <v>61</v>
      </c>
      <c r="N386" s="93"/>
    </row>
    <row r="387" ht="18.0" customHeight="1">
      <c r="A387" s="99">
        <v>384.0</v>
      </c>
      <c r="B387" s="99"/>
      <c r="C387" s="99"/>
      <c r="D387" s="99"/>
      <c r="E387" s="99"/>
      <c r="F387" s="99"/>
      <c r="G387" s="99"/>
      <c r="H387" s="99" t="s">
        <v>545</v>
      </c>
      <c r="I387" s="99" t="s">
        <v>81</v>
      </c>
      <c r="J387" s="99"/>
      <c r="K387" s="99"/>
      <c r="L387" s="99"/>
      <c r="M387" s="99" t="s">
        <v>61</v>
      </c>
      <c r="N387" s="99"/>
    </row>
    <row r="388" ht="18.0" customHeight="1">
      <c r="A388" s="93">
        <v>385.0</v>
      </c>
      <c r="B388" s="93"/>
      <c r="C388" s="93"/>
      <c r="D388" s="93"/>
      <c r="E388" s="93"/>
      <c r="F388" s="93"/>
      <c r="G388" s="93"/>
      <c r="H388" s="93" t="s">
        <v>545</v>
      </c>
      <c r="I388" s="93" t="s">
        <v>81</v>
      </c>
      <c r="J388" s="93"/>
      <c r="K388" s="93"/>
      <c r="L388" s="93"/>
      <c r="M388" s="93" t="s">
        <v>61</v>
      </c>
      <c r="N388" s="93"/>
    </row>
    <row r="389" ht="18.0" customHeight="1">
      <c r="A389" s="99">
        <v>386.0</v>
      </c>
      <c r="B389" s="99"/>
      <c r="C389" s="99"/>
      <c r="D389" s="99"/>
      <c r="E389" s="99"/>
      <c r="F389" s="99"/>
      <c r="G389" s="99"/>
      <c r="H389" s="99" t="s">
        <v>545</v>
      </c>
      <c r="I389" s="99" t="s">
        <v>81</v>
      </c>
      <c r="J389" s="99"/>
      <c r="K389" s="99"/>
      <c r="L389" s="99"/>
      <c r="M389" s="99" t="s">
        <v>61</v>
      </c>
      <c r="N389" s="99"/>
    </row>
    <row r="390" ht="18.0" customHeight="1">
      <c r="A390" s="93">
        <v>387.0</v>
      </c>
      <c r="B390" s="93"/>
      <c r="C390" s="93"/>
      <c r="D390" s="93"/>
      <c r="E390" s="93"/>
      <c r="F390" s="93"/>
      <c r="G390" s="93"/>
      <c r="H390" s="93" t="s">
        <v>545</v>
      </c>
      <c r="I390" s="93" t="s">
        <v>81</v>
      </c>
      <c r="J390" s="93"/>
      <c r="K390" s="93"/>
      <c r="L390" s="93"/>
      <c r="M390" s="93" t="s">
        <v>61</v>
      </c>
      <c r="N390" s="93"/>
    </row>
    <row r="391" ht="18.0" customHeight="1">
      <c r="A391" s="99">
        <v>388.0</v>
      </c>
      <c r="B391" s="99"/>
      <c r="C391" s="99"/>
      <c r="D391" s="99"/>
      <c r="E391" s="99"/>
      <c r="F391" s="99"/>
      <c r="G391" s="99"/>
      <c r="H391" s="99" t="s">
        <v>545</v>
      </c>
      <c r="I391" s="99" t="s">
        <v>81</v>
      </c>
      <c r="J391" s="99"/>
      <c r="K391" s="99"/>
      <c r="L391" s="99"/>
      <c r="M391" s="99" t="s">
        <v>61</v>
      </c>
      <c r="N391" s="99"/>
    </row>
    <row r="392" ht="18.0" customHeight="1">
      <c r="A392" s="93">
        <v>389.0</v>
      </c>
      <c r="B392" s="93"/>
      <c r="C392" s="93"/>
      <c r="D392" s="93"/>
      <c r="E392" s="93"/>
      <c r="F392" s="93"/>
      <c r="G392" s="93"/>
      <c r="H392" s="93" t="s">
        <v>545</v>
      </c>
      <c r="I392" s="93" t="s">
        <v>81</v>
      </c>
      <c r="J392" s="93"/>
      <c r="K392" s="93"/>
      <c r="L392" s="93"/>
      <c r="M392" s="93" t="s">
        <v>61</v>
      </c>
      <c r="N392" s="93"/>
    </row>
    <row r="393" ht="18.0" customHeight="1">
      <c r="A393" s="99">
        <v>390.0</v>
      </c>
      <c r="B393" s="99"/>
      <c r="C393" s="99"/>
      <c r="D393" s="99"/>
      <c r="E393" s="99"/>
      <c r="F393" s="99"/>
      <c r="G393" s="99"/>
      <c r="H393" s="99" t="s">
        <v>545</v>
      </c>
      <c r="I393" s="99" t="s">
        <v>81</v>
      </c>
      <c r="J393" s="99"/>
      <c r="K393" s="99"/>
      <c r="L393" s="99"/>
      <c r="M393" s="99" t="s">
        <v>61</v>
      </c>
      <c r="N393" s="99"/>
    </row>
    <row r="394" ht="18.0" customHeight="1">
      <c r="A394" s="93">
        <v>391.0</v>
      </c>
      <c r="B394" s="93"/>
      <c r="C394" s="93"/>
      <c r="D394" s="93"/>
      <c r="E394" s="93"/>
      <c r="F394" s="93"/>
      <c r="G394" s="93"/>
      <c r="H394" s="93" t="s">
        <v>545</v>
      </c>
      <c r="I394" s="93" t="s">
        <v>81</v>
      </c>
      <c r="J394" s="93"/>
      <c r="K394" s="93"/>
      <c r="L394" s="93"/>
      <c r="M394" s="93" t="s">
        <v>61</v>
      </c>
      <c r="N394" s="93"/>
    </row>
    <row r="395" ht="18.0" customHeight="1">
      <c r="A395" s="99">
        <v>392.0</v>
      </c>
      <c r="B395" s="99"/>
      <c r="C395" s="99"/>
      <c r="D395" s="99"/>
      <c r="E395" s="99"/>
      <c r="F395" s="99"/>
      <c r="G395" s="99"/>
      <c r="H395" s="99" t="s">
        <v>545</v>
      </c>
      <c r="I395" s="99" t="s">
        <v>81</v>
      </c>
      <c r="J395" s="99"/>
      <c r="K395" s="99"/>
      <c r="L395" s="99"/>
      <c r="M395" s="99" t="s">
        <v>61</v>
      </c>
      <c r="N395" s="99"/>
    </row>
    <row r="396" ht="18.0" customHeight="1">
      <c r="A396" s="93">
        <v>393.0</v>
      </c>
      <c r="B396" s="93"/>
      <c r="C396" s="93"/>
      <c r="D396" s="93"/>
      <c r="E396" s="93"/>
      <c r="F396" s="93"/>
      <c r="G396" s="93"/>
      <c r="H396" s="93" t="s">
        <v>545</v>
      </c>
      <c r="I396" s="93" t="s">
        <v>81</v>
      </c>
      <c r="J396" s="93"/>
      <c r="K396" s="93"/>
      <c r="L396" s="93"/>
      <c r="M396" s="93" t="s">
        <v>61</v>
      </c>
      <c r="N396" s="93"/>
    </row>
    <row r="397" ht="18.0" customHeight="1">
      <c r="A397" s="99">
        <v>394.0</v>
      </c>
      <c r="B397" s="99"/>
      <c r="C397" s="99"/>
      <c r="D397" s="99"/>
      <c r="E397" s="99"/>
      <c r="F397" s="99"/>
      <c r="G397" s="99"/>
      <c r="H397" s="99" t="s">
        <v>545</v>
      </c>
      <c r="I397" s="99" t="s">
        <v>81</v>
      </c>
      <c r="J397" s="99"/>
      <c r="K397" s="99"/>
      <c r="L397" s="99"/>
      <c r="M397" s="99" t="s">
        <v>61</v>
      </c>
      <c r="N397" s="99"/>
    </row>
    <row r="398" ht="18.0" customHeight="1">
      <c r="A398" s="93">
        <v>395.0</v>
      </c>
      <c r="B398" s="93"/>
      <c r="C398" s="93"/>
      <c r="D398" s="93"/>
      <c r="E398" s="93"/>
      <c r="F398" s="93"/>
      <c r="G398" s="93"/>
      <c r="H398" s="93" t="s">
        <v>545</v>
      </c>
      <c r="I398" s="93" t="s">
        <v>81</v>
      </c>
      <c r="J398" s="93"/>
      <c r="K398" s="93"/>
      <c r="L398" s="93"/>
      <c r="M398" s="93" t="s">
        <v>61</v>
      </c>
      <c r="N398" s="93"/>
    </row>
    <row r="399" ht="18.0" customHeight="1">
      <c r="A399" s="99">
        <v>396.0</v>
      </c>
      <c r="B399" s="99"/>
      <c r="C399" s="99"/>
      <c r="D399" s="99"/>
      <c r="E399" s="99"/>
      <c r="F399" s="99"/>
      <c r="G399" s="99"/>
      <c r="H399" s="99" t="s">
        <v>545</v>
      </c>
      <c r="I399" s="99" t="s">
        <v>81</v>
      </c>
      <c r="J399" s="99"/>
      <c r="K399" s="99"/>
      <c r="L399" s="99"/>
      <c r="M399" s="99" t="s">
        <v>61</v>
      </c>
      <c r="N399" s="99"/>
    </row>
    <row r="400" ht="18.0" customHeight="1">
      <c r="A400" s="93">
        <v>397.0</v>
      </c>
      <c r="B400" s="93"/>
      <c r="C400" s="93"/>
      <c r="D400" s="93"/>
      <c r="E400" s="93"/>
      <c r="F400" s="93"/>
      <c r="G400" s="93"/>
      <c r="H400" s="93" t="s">
        <v>545</v>
      </c>
      <c r="I400" s="93" t="s">
        <v>81</v>
      </c>
      <c r="J400" s="93"/>
      <c r="K400" s="93"/>
      <c r="L400" s="93"/>
      <c r="M400" s="93" t="s">
        <v>61</v>
      </c>
      <c r="N400" s="93"/>
    </row>
    <row r="401" ht="18.0" customHeight="1">
      <c r="A401" s="99">
        <v>398.0</v>
      </c>
      <c r="B401" s="99"/>
      <c r="C401" s="99"/>
      <c r="D401" s="99"/>
      <c r="E401" s="99"/>
      <c r="F401" s="99"/>
      <c r="G401" s="99"/>
      <c r="H401" s="99" t="s">
        <v>545</v>
      </c>
      <c r="I401" s="99" t="s">
        <v>81</v>
      </c>
      <c r="J401" s="99"/>
      <c r="K401" s="99"/>
      <c r="L401" s="99"/>
      <c r="M401" s="99" t="s">
        <v>61</v>
      </c>
      <c r="N401" s="99"/>
    </row>
    <row r="402" ht="18.0" customHeight="1">
      <c r="A402" s="93">
        <v>399.0</v>
      </c>
      <c r="B402" s="93"/>
      <c r="C402" s="93"/>
      <c r="D402" s="93"/>
      <c r="E402" s="93"/>
      <c r="F402" s="93"/>
      <c r="G402" s="93"/>
      <c r="H402" s="93" t="s">
        <v>545</v>
      </c>
      <c r="I402" s="93" t="s">
        <v>81</v>
      </c>
      <c r="J402" s="93"/>
      <c r="K402" s="93"/>
      <c r="L402" s="93"/>
      <c r="M402" s="93" t="s">
        <v>61</v>
      </c>
      <c r="N402" s="93"/>
    </row>
    <row r="403" ht="18.0" customHeight="1">
      <c r="A403" s="99">
        <v>400.0</v>
      </c>
      <c r="B403" s="99"/>
      <c r="C403" s="99"/>
      <c r="D403" s="99"/>
      <c r="E403" s="99"/>
      <c r="F403" s="99"/>
      <c r="G403" s="99"/>
      <c r="H403" s="99" t="s">
        <v>545</v>
      </c>
      <c r="I403" s="99" t="s">
        <v>81</v>
      </c>
      <c r="J403" s="99"/>
      <c r="K403" s="99"/>
      <c r="L403" s="99"/>
      <c r="M403" s="99" t="s">
        <v>61</v>
      </c>
      <c r="N403" s="99"/>
    </row>
    <row r="404" ht="18.0" customHeight="1">
      <c r="A404" s="93">
        <v>401.0</v>
      </c>
      <c r="B404" s="93"/>
      <c r="C404" s="93"/>
      <c r="D404" s="93"/>
      <c r="E404" s="93"/>
      <c r="F404" s="93"/>
      <c r="G404" s="93"/>
      <c r="H404" s="93" t="s">
        <v>545</v>
      </c>
      <c r="I404" s="93" t="s">
        <v>81</v>
      </c>
      <c r="J404" s="93"/>
      <c r="K404" s="93"/>
      <c r="L404" s="93"/>
      <c r="M404" s="93" t="s">
        <v>61</v>
      </c>
      <c r="N404" s="93"/>
    </row>
    <row r="405" ht="18.0" customHeight="1">
      <c r="A405" s="99">
        <v>402.0</v>
      </c>
      <c r="B405" s="99"/>
      <c r="C405" s="99"/>
      <c r="D405" s="99"/>
      <c r="E405" s="99"/>
      <c r="F405" s="99"/>
      <c r="G405" s="99"/>
      <c r="H405" s="99" t="s">
        <v>545</v>
      </c>
      <c r="I405" s="99" t="s">
        <v>81</v>
      </c>
      <c r="J405" s="99"/>
      <c r="K405" s="99"/>
      <c r="L405" s="99"/>
      <c r="M405" s="99" t="s">
        <v>61</v>
      </c>
      <c r="N405" s="99"/>
    </row>
    <row r="406" ht="18.0" customHeight="1">
      <c r="A406" s="93">
        <v>403.0</v>
      </c>
      <c r="B406" s="93"/>
      <c r="C406" s="93"/>
      <c r="D406" s="93"/>
      <c r="E406" s="93"/>
      <c r="F406" s="93"/>
      <c r="G406" s="93"/>
      <c r="H406" s="93" t="s">
        <v>545</v>
      </c>
      <c r="I406" s="93" t="s">
        <v>81</v>
      </c>
      <c r="J406" s="93"/>
      <c r="K406" s="93"/>
      <c r="L406" s="93"/>
      <c r="M406" s="93" t="s">
        <v>61</v>
      </c>
      <c r="N406" s="93"/>
    </row>
    <row r="407" ht="18.0" customHeight="1">
      <c r="A407" s="99">
        <v>404.0</v>
      </c>
      <c r="B407" s="99"/>
      <c r="C407" s="99"/>
      <c r="D407" s="99"/>
      <c r="E407" s="99"/>
      <c r="F407" s="99"/>
      <c r="G407" s="99"/>
      <c r="H407" s="99" t="s">
        <v>545</v>
      </c>
      <c r="I407" s="99" t="s">
        <v>81</v>
      </c>
      <c r="J407" s="99"/>
      <c r="K407" s="99"/>
      <c r="L407" s="99"/>
      <c r="M407" s="99" t="s">
        <v>61</v>
      </c>
      <c r="N407" s="99"/>
    </row>
    <row r="408" ht="18.0" customHeight="1">
      <c r="A408" s="93">
        <v>405.0</v>
      </c>
      <c r="B408" s="93"/>
      <c r="C408" s="93"/>
      <c r="D408" s="93"/>
      <c r="E408" s="93"/>
      <c r="F408" s="93"/>
      <c r="G408" s="93"/>
      <c r="H408" s="93" t="s">
        <v>545</v>
      </c>
      <c r="I408" s="93" t="s">
        <v>81</v>
      </c>
      <c r="J408" s="93"/>
      <c r="K408" s="93"/>
      <c r="L408" s="93"/>
      <c r="M408" s="93" t="s">
        <v>61</v>
      </c>
      <c r="N408" s="93"/>
    </row>
    <row r="409" ht="18.0" customHeight="1">
      <c r="A409" s="99">
        <v>406.0</v>
      </c>
      <c r="B409" s="99"/>
      <c r="C409" s="99"/>
      <c r="D409" s="99"/>
      <c r="E409" s="99"/>
      <c r="F409" s="99"/>
      <c r="G409" s="99"/>
      <c r="H409" s="99" t="s">
        <v>545</v>
      </c>
      <c r="I409" s="99" t="s">
        <v>81</v>
      </c>
      <c r="J409" s="99"/>
      <c r="K409" s="99"/>
      <c r="L409" s="99"/>
      <c r="M409" s="99" t="s">
        <v>61</v>
      </c>
      <c r="N409" s="99"/>
    </row>
    <row r="410" ht="18.0" customHeight="1">
      <c r="A410" s="93">
        <v>407.0</v>
      </c>
      <c r="B410" s="93"/>
      <c r="C410" s="93"/>
      <c r="D410" s="93"/>
      <c r="E410" s="93"/>
      <c r="F410" s="93"/>
      <c r="G410" s="93"/>
      <c r="H410" s="93" t="s">
        <v>545</v>
      </c>
      <c r="I410" s="93" t="s">
        <v>81</v>
      </c>
      <c r="J410" s="93"/>
      <c r="K410" s="93"/>
      <c r="L410" s="93"/>
      <c r="M410" s="93" t="s">
        <v>61</v>
      </c>
      <c r="N410" s="93"/>
    </row>
    <row r="411" ht="18.0" customHeight="1">
      <c r="A411" s="99">
        <v>408.0</v>
      </c>
      <c r="B411" s="99"/>
      <c r="C411" s="99"/>
      <c r="D411" s="99"/>
      <c r="E411" s="99"/>
      <c r="F411" s="99"/>
      <c r="G411" s="99"/>
      <c r="H411" s="99" t="s">
        <v>545</v>
      </c>
      <c r="I411" s="99" t="s">
        <v>81</v>
      </c>
      <c r="J411" s="99"/>
      <c r="K411" s="99"/>
      <c r="L411" s="99"/>
      <c r="M411" s="99" t="s">
        <v>61</v>
      </c>
      <c r="N411" s="99"/>
    </row>
    <row r="412" ht="18.0" customHeight="1">
      <c r="A412" s="93">
        <v>409.0</v>
      </c>
      <c r="B412" s="93"/>
      <c r="C412" s="93"/>
      <c r="D412" s="93"/>
      <c r="E412" s="93"/>
      <c r="F412" s="93"/>
      <c r="G412" s="93"/>
      <c r="H412" s="93" t="s">
        <v>545</v>
      </c>
      <c r="I412" s="93" t="s">
        <v>81</v>
      </c>
      <c r="J412" s="93"/>
      <c r="K412" s="93"/>
      <c r="L412" s="93"/>
      <c r="M412" s="93" t="s">
        <v>61</v>
      </c>
      <c r="N412" s="93"/>
    </row>
    <row r="413" ht="18.0" customHeight="1">
      <c r="A413" s="99">
        <v>410.0</v>
      </c>
      <c r="B413" s="99"/>
      <c r="C413" s="99"/>
      <c r="D413" s="99"/>
      <c r="E413" s="99"/>
      <c r="F413" s="99"/>
      <c r="G413" s="99"/>
      <c r="H413" s="99" t="s">
        <v>545</v>
      </c>
      <c r="I413" s="99" t="s">
        <v>81</v>
      </c>
      <c r="J413" s="99"/>
      <c r="K413" s="99"/>
      <c r="L413" s="99"/>
      <c r="M413" s="99" t="s">
        <v>61</v>
      </c>
      <c r="N413" s="99"/>
    </row>
    <row r="414" ht="18.0" customHeight="1">
      <c r="A414" s="93">
        <v>411.0</v>
      </c>
      <c r="B414" s="93"/>
      <c r="C414" s="93"/>
      <c r="D414" s="93"/>
      <c r="E414" s="93"/>
      <c r="F414" s="93"/>
      <c r="G414" s="93"/>
      <c r="H414" s="93" t="s">
        <v>545</v>
      </c>
      <c r="I414" s="93" t="s">
        <v>81</v>
      </c>
      <c r="J414" s="93"/>
      <c r="K414" s="93"/>
      <c r="L414" s="93"/>
      <c r="M414" s="93" t="s">
        <v>61</v>
      </c>
      <c r="N414" s="93"/>
    </row>
    <row r="415" ht="18.0" customHeight="1">
      <c r="A415" s="99">
        <v>412.0</v>
      </c>
      <c r="B415" s="99"/>
      <c r="C415" s="99"/>
      <c r="D415" s="99"/>
      <c r="E415" s="99"/>
      <c r="F415" s="99"/>
      <c r="G415" s="99"/>
      <c r="H415" s="99" t="s">
        <v>545</v>
      </c>
      <c r="I415" s="99" t="s">
        <v>81</v>
      </c>
      <c r="J415" s="99"/>
      <c r="K415" s="99"/>
      <c r="L415" s="99"/>
      <c r="M415" s="99" t="s">
        <v>61</v>
      </c>
      <c r="N415" s="99"/>
    </row>
    <row r="416" ht="18.0" customHeight="1">
      <c r="A416" s="93">
        <v>413.0</v>
      </c>
      <c r="B416" s="93"/>
      <c r="C416" s="93"/>
      <c r="D416" s="93"/>
      <c r="E416" s="93"/>
      <c r="F416" s="93"/>
      <c r="G416" s="93"/>
      <c r="H416" s="93" t="s">
        <v>545</v>
      </c>
      <c r="I416" s="93" t="s">
        <v>81</v>
      </c>
      <c r="J416" s="93"/>
      <c r="K416" s="93"/>
      <c r="L416" s="93"/>
      <c r="M416" s="93" t="s">
        <v>61</v>
      </c>
      <c r="N416" s="93"/>
    </row>
    <row r="417" ht="18.0" customHeight="1">
      <c r="A417" s="99">
        <v>414.0</v>
      </c>
      <c r="B417" s="99"/>
      <c r="C417" s="99"/>
      <c r="D417" s="99"/>
      <c r="E417" s="99"/>
      <c r="F417" s="99"/>
      <c r="G417" s="99"/>
      <c r="H417" s="99" t="s">
        <v>545</v>
      </c>
      <c r="I417" s="99" t="s">
        <v>81</v>
      </c>
      <c r="J417" s="99"/>
      <c r="K417" s="99"/>
      <c r="L417" s="99"/>
      <c r="M417" s="99" t="s">
        <v>61</v>
      </c>
      <c r="N417" s="99"/>
    </row>
    <row r="418" ht="18.0" customHeight="1">
      <c r="A418" s="93">
        <v>415.0</v>
      </c>
      <c r="B418" s="93"/>
      <c r="C418" s="93"/>
      <c r="D418" s="93"/>
      <c r="E418" s="93"/>
      <c r="F418" s="93"/>
      <c r="G418" s="93"/>
      <c r="H418" s="93" t="s">
        <v>545</v>
      </c>
      <c r="I418" s="93" t="s">
        <v>81</v>
      </c>
      <c r="J418" s="93"/>
      <c r="K418" s="93"/>
      <c r="L418" s="93"/>
      <c r="M418" s="93" t="s">
        <v>61</v>
      </c>
      <c r="N418" s="93"/>
    </row>
    <row r="419" ht="18.0" customHeight="1">
      <c r="A419" s="99">
        <v>416.0</v>
      </c>
      <c r="B419" s="99"/>
      <c r="C419" s="99"/>
      <c r="D419" s="99"/>
      <c r="E419" s="99"/>
      <c r="F419" s="99"/>
      <c r="G419" s="99"/>
      <c r="H419" s="99" t="s">
        <v>545</v>
      </c>
      <c r="I419" s="99" t="s">
        <v>81</v>
      </c>
      <c r="J419" s="99"/>
      <c r="K419" s="99"/>
      <c r="L419" s="99"/>
      <c r="M419" s="99" t="s">
        <v>61</v>
      </c>
      <c r="N419" s="99"/>
    </row>
    <row r="420" ht="18.0" customHeight="1">
      <c r="A420" s="93">
        <v>417.0</v>
      </c>
      <c r="B420" s="93"/>
      <c r="C420" s="93"/>
      <c r="D420" s="93"/>
      <c r="E420" s="93"/>
      <c r="F420" s="93"/>
      <c r="G420" s="93"/>
      <c r="H420" s="93" t="s">
        <v>545</v>
      </c>
      <c r="I420" s="93" t="s">
        <v>81</v>
      </c>
      <c r="J420" s="93"/>
      <c r="K420" s="93"/>
      <c r="L420" s="93"/>
      <c r="M420" s="93" t="s">
        <v>61</v>
      </c>
      <c r="N420" s="93"/>
    </row>
    <row r="421" ht="18.0" customHeight="1">
      <c r="A421" s="99">
        <v>418.0</v>
      </c>
      <c r="B421" s="99"/>
      <c r="C421" s="99"/>
      <c r="D421" s="99"/>
      <c r="E421" s="99"/>
      <c r="F421" s="99"/>
      <c r="G421" s="99"/>
      <c r="H421" s="99" t="s">
        <v>545</v>
      </c>
      <c r="I421" s="99" t="s">
        <v>81</v>
      </c>
      <c r="J421" s="99"/>
      <c r="K421" s="99"/>
      <c r="L421" s="99"/>
      <c r="M421" s="99" t="s">
        <v>61</v>
      </c>
      <c r="N421" s="99"/>
    </row>
    <row r="422" ht="18.0" customHeight="1">
      <c r="A422" s="93">
        <v>419.0</v>
      </c>
      <c r="B422" s="93"/>
      <c r="C422" s="93"/>
      <c r="D422" s="93"/>
      <c r="E422" s="93"/>
      <c r="F422" s="93"/>
      <c r="G422" s="93"/>
      <c r="H422" s="93" t="s">
        <v>545</v>
      </c>
      <c r="I422" s="93" t="s">
        <v>81</v>
      </c>
      <c r="J422" s="93"/>
      <c r="K422" s="93"/>
      <c r="L422" s="93"/>
      <c r="M422" s="93" t="s">
        <v>61</v>
      </c>
      <c r="N422" s="93"/>
    </row>
    <row r="423" ht="18.0" customHeight="1">
      <c r="A423" s="99">
        <v>420.0</v>
      </c>
      <c r="B423" s="99"/>
      <c r="C423" s="99"/>
      <c r="D423" s="99"/>
      <c r="E423" s="99"/>
      <c r="F423" s="99"/>
      <c r="G423" s="99"/>
      <c r="H423" s="99" t="s">
        <v>545</v>
      </c>
      <c r="I423" s="99" t="s">
        <v>81</v>
      </c>
      <c r="J423" s="99"/>
      <c r="K423" s="99"/>
      <c r="L423" s="99"/>
      <c r="M423" s="99" t="s">
        <v>61</v>
      </c>
      <c r="N423" s="99"/>
    </row>
    <row r="424" ht="18.0" customHeight="1">
      <c r="A424" s="93">
        <v>421.0</v>
      </c>
      <c r="B424" s="93"/>
      <c r="C424" s="93"/>
      <c r="D424" s="93"/>
      <c r="E424" s="93"/>
      <c r="F424" s="93"/>
      <c r="G424" s="93"/>
      <c r="H424" s="93" t="s">
        <v>545</v>
      </c>
      <c r="I424" s="93" t="s">
        <v>81</v>
      </c>
      <c r="J424" s="93"/>
      <c r="K424" s="93"/>
      <c r="L424" s="93"/>
      <c r="M424" s="93" t="s">
        <v>61</v>
      </c>
      <c r="N424" s="93"/>
    </row>
    <row r="425" ht="18.0" customHeight="1">
      <c r="A425" s="99">
        <v>422.0</v>
      </c>
      <c r="B425" s="99"/>
      <c r="C425" s="99"/>
      <c r="D425" s="99"/>
      <c r="E425" s="99"/>
      <c r="F425" s="99"/>
      <c r="G425" s="99"/>
      <c r="H425" s="99" t="s">
        <v>545</v>
      </c>
      <c r="I425" s="99" t="s">
        <v>81</v>
      </c>
      <c r="J425" s="99"/>
      <c r="K425" s="99"/>
      <c r="L425" s="99"/>
      <c r="M425" s="99" t="s">
        <v>61</v>
      </c>
      <c r="N425" s="99"/>
    </row>
    <row r="426" ht="18.0" customHeight="1">
      <c r="A426" s="93">
        <v>423.0</v>
      </c>
      <c r="B426" s="93"/>
      <c r="C426" s="93"/>
      <c r="D426" s="93"/>
      <c r="E426" s="93"/>
      <c r="F426" s="93"/>
      <c r="G426" s="93"/>
      <c r="H426" s="93" t="s">
        <v>545</v>
      </c>
      <c r="I426" s="93" t="s">
        <v>81</v>
      </c>
      <c r="J426" s="93"/>
      <c r="K426" s="93"/>
      <c r="L426" s="93"/>
      <c r="M426" s="93" t="s">
        <v>61</v>
      </c>
      <c r="N426" s="93"/>
    </row>
    <row r="427" ht="18.0" customHeight="1">
      <c r="A427" s="99">
        <v>424.0</v>
      </c>
      <c r="B427" s="99"/>
      <c r="C427" s="99"/>
      <c r="D427" s="99"/>
      <c r="E427" s="99"/>
      <c r="F427" s="99"/>
      <c r="G427" s="99"/>
      <c r="H427" s="99" t="s">
        <v>545</v>
      </c>
      <c r="I427" s="99" t="s">
        <v>81</v>
      </c>
      <c r="J427" s="99"/>
      <c r="K427" s="99"/>
      <c r="L427" s="99"/>
      <c r="M427" s="99" t="s">
        <v>61</v>
      </c>
      <c r="N427" s="99"/>
    </row>
    <row r="428" ht="18.0" customHeight="1">
      <c r="A428" s="93">
        <v>425.0</v>
      </c>
      <c r="B428" s="93"/>
      <c r="C428" s="93"/>
      <c r="D428" s="93"/>
      <c r="E428" s="93"/>
      <c r="F428" s="93"/>
      <c r="G428" s="93"/>
      <c r="H428" s="93" t="s">
        <v>545</v>
      </c>
      <c r="I428" s="93" t="s">
        <v>81</v>
      </c>
      <c r="J428" s="93"/>
      <c r="K428" s="93"/>
      <c r="L428" s="93"/>
      <c r="M428" s="93" t="s">
        <v>61</v>
      </c>
      <c r="N428" s="93"/>
    </row>
    <row r="429" ht="18.0" customHeight="1">
      <c r="A429" s="99">
        <v>426.0</v>
      </c>
      <c r="B429" s="99"/>
      <c r="C429" s="99"/>
      <c r="D429" s="99"/>
      <c r="E429" s="99"/>
      <c r="F429" s="99"/>
      <c r="G429" s="99"/>
      <c r="H429" s="99" t="s">
        <v>545</v>
      </c>
      <c r="I429" s="99" t="s">
        <v>81</v>
      </c>
      <c r="J429" s="99"/>
      <c r="K429" s="99"/>
      <c r="L429" s="99"/>
      <c r="M429" s="99" t="s">
        <v>61</v>
      </c>
      <c r="N429" s="99"/>
    </row>
    <row r="430" ht="18.0" customHeight="1">
      <c r="A430" s="93">
        <v>427.0</v>
      </c>
      <c r="B430" s="93"/>
      <c r="C430" s="93"/>
      <c r="D430" s="93"/>
      <c r="E430" s="93"/>
      <c r="F430" s="93"/>
      <c r="G430" s="93"/>
      <c r="H430" s="93" t="s">
        <v>545</v>
      </c>
      <c r="I430" s="93" t="s">
        <v>81</v>
      </c>
      <c r="J430" s="93"/>
      <c r="K430" s="93"/>
      <c r="L430" s="93"/>
      <c r="M430" s="93" t="s">
        <v>61</v>
      </c>
      <c r="N430" s="93"/>
    </row>
    <row r="431" ht="18.0" customHeight="1">
      <c r="A431" s="99">
        <v>428.0</v>
      </c>
      <c r="B431" s="99"/>
      <c r="C431" s="99"/>
      <c r="D431" s="99"/>
      <c r="E431" s="99"/>
      <c r="F431" s="99"/>
      <c r="G431" s="99"/>
      <c r="H431" s="99" t="s">
        <v>545</v>
      </c>
      <c r="I431" s="99" t="s">
        <v>81</v>
      </c>
      <c r="J431" s="99"/>
      <c r="K431" s="99"/>
      <c r="L431" s="99"/>
      <c r="M431" s="99" t="s">
        <v>61</v>
      </c>
      <c r="N431" s="99"/>
    </row>
    <row r="432" ht="18.0" customHeight="1">
      <c r="A432" s="93">
        <v>429.0</v>
      </c>
      <c r="B432" s="93"/>
      <c r="C432" s="93"/>
      <c r="D432" s="93"/>
      <c r="E432" s="93"/>
      <c r="F432" s="93"/>
      <c r="G432" s="93"/>
      <c r="H432" s="93" t="s">
        <v>545</v>
      </c>
      <c r="I432" s="93" t="s">
        <v>81</v>
      </c>
      <c r="J432" s="93"/>
      <c r="K432" s="93"/>
      <c r="L432" s="93"/>
      <c r="M432" s="93" t="s">
        <v>61</v>
      </c>
      <c r="N432" s="93"/>
    </row>
    <row r="433" ht="18.0" customHeight="1">
      <c r="A433" s="99">
        <v>430.0</v>
      </c>
      <c r="B433" s="99"/>
      <c r="C433" s="99"/>
      <c r="D433" s="99"/>
      <c r="E433" s="99"/>
      <c r="F433" s="99"/>
      <c r="G433" s="99"/>
      <c r="H433" s="99" t="s">
        <v>545</v>
      </c>
      <c r="I433" s="99" t="s">
        <v>81</v>
      </c>
      <c r="J433" s="99"/>
      <c r="K433" s="99"/>
      <c r="L433" s="99"/>
      <c r="M433" s="99" t="s">
        <v>61</v>
      </c>
      <c r="N433" s="99"/>
    </row>
    <row r="434" ht="18.0" customHeight="1">
      <c r="A434" s="93">
        <v>431.0</v>
      </c>
      <c r="B434" s="93"/>
      <c r="C434" s="93"/>
      <c r="D434" s="93"/>
      <c r="E434" s="93"/>
      <c r="F434" s="93"/>
      <c r="G434" s="93"/>
      <c r="H434" s="93" t="s">
        <v>545</v>
      </c>
      <c r="I434" s="93" t="s">
        <v>81</v>
      </c>
      <c r="J434" s="93"/>
      <c r="K434" s="93"/>
      <c r="L434" s="93"/>
      <c r="M434" s="93" t="s">
        <v>61</v>
      </c>
      <c r="N434" s="93"/>
    </row>
    <row r="435" ht="18.0" customHeight="1">
      <c r="A435" s="99">
        <v>432.0</v>
      </c>
      <c r="B435" s="99"/>
      <c r="C435" s="99"/>
      <c r="D435" s="99"/>
      <c r="E435" s="99"/>
      <c r="F435" s="99"/>
      <c r="G435" s="99"/>
      <c r="H435" s="99" t="s">
        <v>545</v>
      </c>
      <c r="I435" s="99" t="s">
        <v>81</v>
      </c>
      <c r="J435" s="99"/>
      <c r="K435" s="99"/>
      <c r="L435" s="99"/>
      <c r="M435" s="99" t="s">
        <v>61</v>
      </c>
      <c r="N435" s="99"/>
    </row>
    <row r="436" ht="18.0" customHeight="1">
      <c r="A436" s="93">
        <v>433.0</v>
      </c>
      <c r="B436" s="93"/>
      <c r="C436" s="93"/>
      <c r="D436" s="93"/>
      <c r="E436" s="93"/>
      <c r="F436" s="93"/>
      <c r="G436" s="93"/>
      <c r="H436" s="93" t="s">
        <v>545</v>
      </c>
      <c r="I436" s="93" t="s">
        <v>81</v>
      </c>
      <c r="J436" s="93"/>
      <c r="K436" s="93"/>
      <c r="L436" s="93"/>
      <c r="M436" s="93" t="s">
        <v>61</v>
      </c>
      <c r="N436" s="93"/>
    </row>
    <row r="437" ht="18.0" customHeight="1">
      <c r="A437" s="99">
        <v>434.0</v>
      </c>
      <c r="B437" s="99"/>
      <c r="C437" s="99"/>
      <c r="D437" s="99"/>
      <c r="E437" s="99"/>
      <c r="F437" s="99"/>
      <c r="G437" s="99"/>
      <c r="H437" s="99" t="s">
        <v>545</v>
      </c>
      <c r="I437" s="99" t="s">
        <v>81</v>
      </c>
      <c r="J437" s="99"/>
      <c r="K437" s="99"/>
      <c r="L437" s="99"/>
      <c r="M437" s="99" t="s">
        <v>61</v>
      </c>
      <c r="N437" s="99"/>
    </row>
    <row r="438" ht="18.0" customHeight="1">
      <c r="A438" s="93">
        <v>435.0</v>
      </c>
      <c r="B438" s="93"/>
      <c r="C438" s="93"/>
      <c r="D438" s="93"/>
      <c r="E438" s="93"/>
      <c r="F438" s="93"/>
      <c r="G438" s="93"/>
      <c r="H438" s="93" t="s">
        <v>545</v>
      </c>
      <c r="I438" s="93" t="s">
        <v>81</v>
      </c>
      <c r="J438" s="93"/>
      <c r="K438" s="93"/>
      <c r="L438" s="93"/>
      <c r="M438" s="93" t="s">
        <v>61</v>
      </c>
      <c r="N438" s="93"/>
    </row>
    <row r="439" ht="18.0" customHeight="1">
      <c r="A439" s="99">
        <v>436.0</v>
      </c>
      <c r="B439" s="99"/>
      <c r="C439" s="99"/>
      <c r="D439" s="99"/>
      <c r="E439" s="99"/>
      <c r="F439" s="99"/>
      <c r="G439" s="99"/>
      <c r="H439" s="99" t="s">
        <v>545</v>
      </c>
      <c r="I439" s="99" t="s">
        <v>81</v>
      </c>
      <c r="J439" s="99"/>
      <c r="K439" s="99"/>
      <c r="L439" s="99"/>
      <c r="M439" s="99" t="s">
        <v>61</v>
      </c>
      <c r="N439" s="99"/>
    </row>
    <row r="440" ht="18.0" customHeight="1">
      <c r="A440" s="93">
        <v>437.0</v>
      </c>
      <c r="B440" s="93"/>
      <c r="C440" s="93"/>
      <c r="D440" s="93"/>
      <c r="E440" s="93"/>
      <c r="F440" s="93"/>
      <c r="G440" s="93"/>
      <c r="H440" s="93" t="s">
        <v>545</v>
      </c>
      <c r="I440" s="93" t="s">
        <v>81</v>
      </c>
      <c r="J440" s="93"/>
      <c r="K440" s="93"/>
      <c r="L440" s="93"/>
      <c r="M440" s="93" t="s">
        <v>61</v>
      </c>
      <c r="N440" s="93"/>
    </row>
    <row r="441" ht="18.0" customHeight="1">
      <c r="A441" s="99">
        <v>438.0</v>
      </c>
      <c r="B441" s="99"/>
      <c r="C441" s="99"/>
      <c r="D441" s="99"/>
      <c r="E441" s="99"/>
      <c r="F441" s="99"/>
      <c r="G441" s="99"/>
      <c r="H441" s="99" t="s">
        <v>545</v>
      </c>
      <c r="I441" s="99" t="s">
        <v>81</v>
      </c>
      <c r="J441" s="99"/>
      <c r="K441" s="99"/>
      <c r="L441" s="99"/>
      <c r="M441" s="99" t="s">
        <v>61</v>
      </c>
      <c r="N441" s="99"/>
    </row>
    <row r="442" ht="18.0" customHeight="1">
      <c r="A442" s="93">
        <v>439.0</v>
      </c>
      <c r="B442" s="93"/>
      <c r="C442" s="93"/>
      <c r="D442" s="93"/>
      <c r="E442" s="93"/>
      <c r="F442" s="93"/>
      <c r="G442" s="93"/>
      <c r="H442" s="93" t="s">
        <v>545</v>
      </c>
      <c r="I442" s="93" t="s">
        <v>81</v>
      </c>
      <c r="J442" s="93"/>
      <c r="K442" s="93"/>
      <c r="L442" s="93"/>
      <c r="M442" s="93" t="s">
        <v>61</v>
      </c>
      <c r="N442" s="93"/>
    </row>
    <row r="443" ht="18.0" customHeight="1">
      <c r="A443" s="99">
        <v>440.0</v>
      </c>
      <c r="B443" s="99"/>
      <c r="C443" s="99"/>
      <c r="D443" s="99"/>
      <c r="E443" s="99"/>
      <c r="F443" s="99"/>
      <c r="G443" s="99"/>
      <c r="H443" s="99" t="s">
        <v>545</v>
      </c>
      <c r="I443" s="99" t="s">
        <v>81</v>
      </c>
      <c r="J443" s="99"/>
      <c r="K443" s="99"/>
      <c r="L443" s="99"/>
      <c r="M443" s="99" t="s">
        <v>61</v>
      </c>
      <c r="N443" s="99"/>
    </row>
    <row r="444" ht="18.0" customHeight="1">
      <c r="A444" s="93">
        <v>441.0</v>
      </c>
      <c r="B444" s="93"/>
      <c r="C444" s="93"/>
      <c r="D444" s="93"/>
      <c r="E444" s="93"/>
      <c r="F444" s="93"/>
      <c r="G444" s="93"/>
      <c r="H444" s="93" t="s">
        <v>545</v>
      </c>
      <c r="I444" s="93" t="s">
        <v>81</v>
      </c>
      <c r="J444" s="93"/>
      <c r="K444" s="93"/>
      <c r="L444" s="93"/>
      <c r="M444" s="93" t="s">
        <v>61</v>
      </c>
      <c r="N444" s="93"/>
    </row>
    <row r="445" ht="18.0" customHeight="1">
      <c r="A445" s="99">
        <v>442.0</v>
      </c>
      <c r="B445" s="99"/>
      <c r="C445" s="99"/>
      <c r="D445" s="99"/>
      <c r="E445" s="99"/>
      <c r="F445" s="99"/>
      <c r="G445" s="99"/>
      <c r="H445" s="99" t="s">
        <v>545</v>
      </c>
      <c r="I445" s="99" t="s">
        <v>81</v>
      </c>
      <c r="J445" s="99"/>
      <c r="K445" s="99"/>
      <c r="L445" s="99"/>
      <c r="M445" s="99" t="s">
        <v>61</v>
      </c>
      <c r="N445" s="99"/>
    </row>
    <row r="446" ht="18.0" customHeight="1">
      <c r="A446" s="93">
        <v>443.0</v>
      </c>
      <c r="B446" s="93"/>
      <c r="C446" s="93"/>
      <c r="D446" s="93"/>
      <c r="E446" s="93"/>
      <c r="F446" s="93"/>
      <c r="G446" s="93"/>
      <c r="H446" s="93" t="s">
        <v>545</v>
      </c>
      <c r="I446" s="93" t="s">
        <v>81</v>
      </c>
      <c r="J446" s="93"/>
      <c r="K446" s="93"/>
      <c r="L446" s="93"/>
      <c r="M446" s="93" t="s">
        <v>61</v>
      </c>
      <c r="N446" s="93"/>
    </row>
    <row r="447" ht="18.0" customHeight="1">
      <c r="A447" s="99">
        <v>444.0</v>
      </c>
      <c r="B447" s="99"/>
      <c r="C447" s="99"/>
      <c r="D447" s="99"/>
      <c r="E447" s="99"/>
      <c r="F447" s="99"/>
      <c r="G447" s="99"/>
      <c r="H447" s="99" t="s">
        <v>545</v>
      </c>
      <c r="I447" s="99" t="s">
        <v>81</v>
      </c>
      <c r="J447" s="99"/>
      <c r="K447" s="99"/>
      <c r="L447" s="99"/>
      <c r="M447" s="99" t="s">
        <v>61</v>
      </c>
      <c r="N447" s="99"/>
    </row>
    <row r="448" ht="18.0" customHeight="1">
      <c r="A448" s="93">
        <v>445.0</v>
      </c>
      <c r="B448" s="93"/>
      <c r="C448" s="93"/>
      <c r="D448" s="93"/>
      <c r="E448" s="93"/>
      <c r="F448" s="93"/>
      <c r="G448" s="93"/>
      <c r="H448" s="93" t="s">
        <v>545</v>
      </c>
      <c r="I448" s="93" t="s">
        <v>81</v>
      </c>
      <c r="J448" s="93"/>
      <c r="K448" s="93"/>
      <c r="L448" s="93"/>
      <c r="M448" s="93" t="s">
        <v>61</v>
      </c>
      <c r="N448" s="93"/>
    </row>
    <row r="449" ht="18.0" customHeight="1">
      <c r="A449" s="99">
        <v>446.0</v>
      </c>
      <c r="B449" s="99"/>
      <c r="C449" s="99"/>
      <c r="D449" s="99"/>
      <c r="E449" s="99"/>
      <c r="F449" s="99"/>
      <c r="G449" s="99"/>
      <c r="H449" s="99" t="s">
        <v>545</v>
      </c>
      <c r="I449" s="99" t="s">
        <v>81</v>
      </c>
      <c r="J449" s="99"/>
      <c r="K449" s="99"/>
      <c r="L449" s="99"/>
      <c r="M449" s="99" t="s">
        <v>61</v>
      </c>
      <c r="N449" s="99"/>
    </row>
    <row r="450" ht="18.0" customHeight="1">
      <c r="A450" s="93">
        <v>447.0</v>
      </c>
      <c r="B450" s="93"/>
      <c r="C450" s="93"/>
      <c r="D450" s="93"/>
      <c r="E450" s="93"/>
      <c r="F450" s="93"/>
      <c r="G450" s="93"/>
      <c r="H450" s="93" t="s">
        <v>545</v>
      </c>
      <c r="I450" s="93" t="s">
        <v>81</v>
      </c>
      <c r="J450" s="93"/>
      <c r="K450" s="93"/>
      <c r="L450" s="93"/>
      <c r="M450" s="93" t="s">
        <v>61</v>
      </c>
      <c r="N450" s="93"/>
    </row>
    <row r="451" ht="18.0" customHeight="1">
      <c r="A451" s="99">
        <v>448.0</v>
      </c>
      <c r="B451" s="99"/>
      <c r="C451" s="99"/>
      <c r="D451" s="99"/>
      <c r="E451" s="99"/>
      <c r="F451" s="99"/>
      <c r="G451" s="99"/>
      <c r="H451" s="99" t="s">
        <v>545</v>
      </c>
      <c r="I451" s="99" t="s">
        <v>81</v>
      </c>
      <c r="J451" s="99"/>
      <c r="K451" s="99"/>
      <c r="L451" s="99"/>
      <c r="M451" s="99" t="s">
        <v>61</v>
      </c>
      <c r="N451" s="99"/>
    </row>
    <row r="452" ht="18.0" customHeight="1">
      <c r="A452" s="93">
        <v>449.0</v>
      </c>
      <c r="B452" s="93"/>
      <c r="C452" s="93"/>
      <c r="D452" s="93"/>
      <c r="E452" s="93"/>
      <c r="F452" s="93"/>
      <c r="G452" s="93"/>
      <c r="H452" s="93" t="s">
        <v>545</v>
      </c>
      <c r="I452" s="93" t="s">
        <v>81</v>
      </c>
      <c r="J452" s="93"/>
      <c r="K452" s="93"/>
      <c r="L452" s="93"/>
      <c r="M452" s="93" t="s">
        <v>61</v>
      </c>
      <c r="N452" s="93"/>
    </row>
    <row r="453" ht="18.0" customHeight="1">
      <c r="A453" s="99">
        <v>450.0</v>
      </c>
      <c r="B453" s="99"/>
      <c r="C453" s="99"/>
      <c r="D453" s="99"/>
      <c r="E453" s="99"/>
      <c r="F453" s="99"/>
      <c r="G453" s="99"/>
      <c r="H453" s="99" t="s">
        <v>545</v>
      </c>
      <c r="I453" s="99" t="s">
        <v>81</v>
      </c>
      <c r="J453" s="99"/>
      <c r="K453" s="99"/>
      <c r="L453" s="99"/>
      <c r="M453" s="99" t="s">
        <v>61</v>
      </c>
      <c r="N453" s="99"/>
    </row>
    <row r="454" ht="18.0" customHeight="1">
      <c r="A454" s="93">
        <v>451.0</v>
      </c>
      <c r="B454" s="93"/>
      <c r="C454" s="93"/>
      <c r="D454" s="93"/>
      <c r="E454" s="93"/>
      <c r="F454" s="93"/>
      <c r="G454" s="93"/>
      <c r="H454" s="93" t="s">
        <v>545</v>
      </c>
      <c r="I454" s="93" t="s">
        <v>81</v>
      </c>
      <c r="J454" s="93"/>
      <c r="K454" s="93"/>
      <c r="L454" s="93"/>
      <c r="M454" s="93" t="s">
        <v>61</v>
      </c>
      <c r="N454" s="93"/>
    </row>
    <row r="455" ht="18.0" customHeight="1">
      <c r="A455" s="99">
        <v>452.0</v>
      </c>
      <c r="B455" s="99"/>
      <c r="C455" s="99"/>
      <c r="D455" s="99"/>
      <c r="E455" s="99"/>
      <c r="F455" s="99"/>
      <c r="G455" s="99"/>
      <c r="H455" s="99" t="s">
        <v>545</v>
      </c>
      <c r="I455" s="99" t="s">
        <v>81</v>
      </c>
      <c r="J455" s="99"/>
      <c r="K455" s="99"/>
      <c r="L455" s="99"/>
      <c r="M455" s="99" t="s">
        <v>61</v>
      </c>
      <c r="N455" s="99"/>
    </row>
    <row r="456" ht="18.0" customHeight="1">
      <c r="A456" s="93">
        <v>453.0</v>
      </c>
      <c r="B456" s="93"/>
      <c r="C456" s="93"/>
      <c r="D456" s="93"/>
      <c r="E456" s="93"/>
      <c r="F456" s="93"/>
      <c r="G456" s="93"/>
      <c r="H456" s="93" t="s">
        <v>545</v>
      </c>
      <c r="I456" s="93" t="s">
        <v>81</v>
      </c>
      <c r="J456" s="93"/>
      <c r="K456" s="93"/>
      <c r="L456" s="93"/>
      <c r="M456" s="93" t="s">
        <v>61</v>
      </c>
      <c r="N456" s="93"/>
    </row>
    <row r="457" ht="18.0" customHeight="1">
      <c r="A457" s="99">
        <v>454.0</v>
      </c>
      <c r="B457" s="99"/>
      <c r="C457" s="99"/>
      <c r="D457" s="99"/>
      <c r="E457" s="99"/>
      <c r="F457" s="99"/>
      <c r="G457" s="99"/>
      <c r="H457" s="99" t="s">
        <v>545</v>
      </c>
      <c r="I457" s="99" t="s">
        <v>81</v>
      </c>
      <c r="J457" s="99"/>
      <c r="K457" s="99"/>
      <c r="L457" s="99"/>
      <c r="M457" s="99" t="s">
        <v>61</v>
      </c>
      <c r="N457" s="99"/>
    </row>
    <row r="458" ht="18.0" customHeight="1">
      <c r="A458" s="93">
        <v>455.0</v>
      </c>
      <c r="B458" s="93"/>
      <c r="C458" s="93"/>
      <c r="D458" s="93"/>
      <c r="E458" s="93"/>
      <c r="F458" s="93"/>
      <c r="G458" s="93"/>
      <c r="H458" s="93" t="s">
        <v>545</v>
      </c>
      <c r="I458" s="93" t="s">
        <v>81</v>
      </c>
      <c r="J458" s="93"/>
      <c r="K458" s="93"/>
      <c r="L458" s="93"/>
      <c r="M458" s="93" t="s">
        <v>61</v>
      </c>
      <c r="N458" s="93"/>
    </row>
    <row r="459" ht="18.0" customHeight="1">
      <c r="A459" s="99">
        <v>456.0</v>
      </c>
      <c r="B459" s="99"/>
      <c r="C459" s="99"/>
      <c r="D459" s="99"/>
      <c r="E459" s="99"/>
      <c r="F459" s="99"/>
      <c r="G459" s="99"/>
      <c r="H459" s="99" t="s">
        <v>545</v>
      </c>
      <c r="I459" s="99" t="s">
        <v>81</v>
      </c>
      <c r="J459" s="99"/>
      <c r="K459" s="99"/>
      <c r="L459" s="99"/>
      <c r="M459" s="99" t="s">
        <v>61</v>
      </c>
      <c r="N459" s="99"/>
    </row>
    <row r="460" ht="18.0" customHeight="1">
      <c r="A460" s="93">
        <v>457.0</v>
      </c>
      <c r="B460" s="93"/>
      <c r="C460" s="93"/>
      <c r="D460" s="93"/>
      <c r="E460" s="93"/>
      <c r="F460" s="93"/>
      <c r="G460" s="93"/>
      <c r="H460" s="93" t="s">
        <v>545</v>
      </c>
      <c r="I460" s="93" t="s">
        <v>81</v>
      </c>
      <c r="J460" s="93"/>
      <c r="K460" s="93"/>
      <c r="L460" s="93"/>
      <c r="M460" s="93" t="s">
        <v>61</v>
      </c>
      <c r="N460" s="93"/>
    </row>
    <row r="461" ht="18.0" customHeight="1">
      <c r="A461" s="99">
        <v>458.0</v>
      </c>
      <c r="B461" s="99"/>
      <c r="C461" s="99"/>
      <c r="D461" s="99"/>
      <c r="E461" s="99"/>
      <c r="F461" s="99"/>
      <c r="G461" s="99"/>
      <c r="H461" s="99" t="s">
        <v>545</v>
      </c>
      <c r="I461" s="99" t="s">
        <v>81</v>
      </c>
      <c r="J461" s="99"/>
      <c r="K461" s="99"/>
      <c r="L461" s="99"/>
      <c r="M461" s="99" t="s">
        <v>61</v>
      </c>
      <c r="N461" s="99"/>
    </row>
    <row r="462" ht="18.0" customHeight="1">
      <c r="A462" s="93">
        <v>459.0</v>
      </c>
      <c r="B462" s="93"/>
      <c r="C462" s="93"/>
      <c r="D462" s="93"/>
      <c r="E462" s="93"/>
      <c r="F462" s="93"/>
      <c r="G462" s="93"/>
      <c r="H462" s="93" t="s">
        <v>545</v>
      </c>
      <c r="I462" s="93" t="s">
        <v>81</v>
      </c>
      <c r="J462" s="93"/>
      <c r="K462" s="93"/>
      <c r="L462" s="93"/>
      <c r="M462" s="93" t="s">
        <v>61</v>
      </c>
      <c r="N462" s="93"/>
    </row>
    <row r="463" ht="18.0" customHeight="1">
      <c r="A463" s="99">
        <v>460.0</v>
      </c>
      <c r="B463" s="99"/>
      <c r="C463" s="99"/>
      <c r="D463" s="99"/>
      <c r="E463" s="99"/>
      <c r="F463" s="99"/>
      <c r="G463" s="99"/>
      <c r="H463" s="99" t="s">
        <v>545</v>
      </c>
      <c r="I463" s="99" t="s">
        <v>81</v>
      </c>
      <c r="J463" s="99"/>
      <c r="K463" s="99"/>
      <c r="L463" s="99"/>
      <c r="M463" s="99" t="s">
        <v>61</v>
      </c>
      <c r="N463" s="99"/>
    </row>
    <row r="464" ht="18.0" customHeight="1">
      <c r="A464" s="93">
        <v>461.0</v>
      </c>
      <c r="B464" s="93"/>
      <c r="C464" s="93"/>
      <c r="D464" s="93"/>
      <c r="E464" s="93"/>
      <c r="F464" s="93"/>
      <c r="G464" s="93"/>
      <c r="H464" s="93" t="s">
        <v>545</v>
      </c>
      <c r="I464" s="93" t="s">
        <v>81</v>
      </c>
      <c r="J464" s="93"/>
      <c r="K464" s="93"/>
      <c r="L464" s="93"/>
      <c r="M464" s="93" t="s">
        <v>61</v>
      </c>
      <c r="N464" s="93"/>
    </row>
    <row r="465" ht="18.0" customHeight="1">
      <c r="A465" s="99">
        <v>462.0</v>
      </c>
      <c r="B465" s="99"/>
      <c r="C465" s="99"/>
      <c r="D465" s="99"/>
      <c r="E465" s="99"/>
      <c r="F465" s="99"/>
      <c r="G465" s="99"/>
      <c r="H465" s="99" t="s">
        <v>545</v>
      </c>
      <c r="I465" s="99" t="s">
        <v>81</v>
      </c>
      <c r="J465" s="99"/>
      <c r="K465" s="99"/>
      <c r="L465" s="99"/>
      <c r="M465" s="99" t="s">
        <v>61</v>
      </c>
      <c r="N465" s="99"/>
    </row>
    <row r="466" ht="18.0" customHeight="1">
      <c r="A466" s="93">
        <v>463.0</v>
      </c>
      <c r="B466" s="93"/>
      <c r="C466" s="93"/>
      <c r="D466" s="93"/>
      <c r="E466" s="93"/>
      <c r="F466" s="93"/>
      <c r="G466" s="93"/>
      <c r="H466" s="93" t="s">
        <v>545</v>
      </c>
      <c r="I466" s="93" t="s">
        <v>81</v>
      </c>
      <c r="J466" s="93"/>
      <c r="K466" s="93"/>
      <c r="L466" s="93"/>
      <c r="M466" s="93" t="s">
        <v>61</v>
      </c>
      <c r="N466" s="93"/>
    </row>
    <row r="467" ht="18.0" customHeight="1">
      <c r="A467" s="99">
        <v>464.0</v>
      </c>
      <c r="B467" s="99"/>
      <c r="C467" s="99"/>
      <c r="D467" s="99"/>
      <c r="E467" s="99"/>
      <c r="F467" s="99"/>
      <c r="G467" s="99"/>
      <c r="H467" s="99" t="s">
        <v>545</v>
      </c>
      <c r="I467" s="99" t="s">
        <v>81</v>
      </c>
      <c r="J467" s="99"/>
      <c r="K467" s="99"/>
      <c r="L467" s="99"/>
      <c r="M467" s="99" t="s">
        <v>61</v>
      </c>
      <c r="N467" s="99"/>
    </row>
    <row r="468" ht="18.0" customHeight="1">
      <c r="A468" s="93">
        <v>465.0</v>
      </c>
      <c r="B468" s="93"/>
      <c r="C468" s="93"/>
      <c r="D468" s="93"/>
      <c r="E468" s="93"/>
      <c r="F468" s="93"/>
      <c r="G468" s="93"/>
      <c r="H468" s="93" t="s">
        <v>545</v>
      </c>
      <c r="I468" s="93" t="s">
        <v>81</v>
      </c>
      <c r="J468" s="93"/>
      <c r="K468" s="93"/>
      <c r="L468" s="93"/>
      <c r="M468" s="93" t="s">
        <v>61</v>
      </c>
      <c r="N468" s="93"/>
    </row>
    <row r="469" ht="18.0" customHeight="1">
      <c r="A469" s="99">
        <v>466.0</v>
      </c>
      <c r="B469" s="99"/>
      <c r="C469" s="99"/>
      <c r="D469" s="99"/>
      <c r="E469" s="99"/>
      <c r="F469" s="99"/>
      <c r="G469" s="99"/>
      <c r="H469" s="99" t="s">
        <v>545</v>
      </c>
      <c r="I469" s="99" t="s">
        <v>81</v>
      </c>
      <c r="J469" s="99"/>
      <c r="K469" s="99"/>
      <c r="L469" s="99"/>
      <c r="M469" s="99" t="s">
        <v>61</v>
      </c>
      <c r="N469" s="99"/>
    </row>
    <row r="470" ht="18.0" customHeight="1">
      <c r="A470" s="93">
        <v>467.0</v>
      </c>
      <c r="B470" s="93"/>
      <c r="C470" s="93"/>
      <c r="D470" s="93"/>
      <c r="E470" s="93"/>
      <c r="F470" s="93"/>
      <c r="G470" s="93"/>
      <c r="H470" s="93" t="s">
        <v>545</v>
      </c>
      <c r="I470" s="93" t="s">
        <v>81</v>
      </c>
      <c r="J470" s="93"/>
      <c r="K470" s="93"/>
      <c r="L470" s="93"/>
      <c r="M470" s="93" t="s">
        <v>61</v>
      </c>
      <c r="N470" s="93"/>
    </row>
    <row r="471" ht="18.0" customHeight="1">
      <c r="A471" s="99">
        <v>468.0</v>
      </c>
      <c r="B471" s="99"/>
      <c r="C471" s="99"/>
      <c r="D471" s="99"/>
      <c r="E471" s="99"/>
      <c r="F471" s="99"/>
      <c r="G471" s="99"/>
      <c r="H471" s="99" t="s">
        <v>545</v>
      </c>
      <c r="I471" s="99" t="s">
        <v>81</v>
      </c>
      <c r="J471" s="99"/>
      <c r="K471" s="99"/>
      <c r="L471" s="99"/>
      <c r="M471" s="99" t="s">
        <v>61</v>
      </c>
      <c r="N471" s="99"/>
    </row>
    <row r="472" ht="18.0" customHeight="1">
      <c r="A472" s="93">
        <v>469.0</v>
      </c>
      <c r="B472" s="93"/>
      <c r="C472" s="93"/>
      <c r="D472" s="93"/>
      <c r="E472" s="93"/>
      <c r="F472" s="93"/>
      <c r="G472" s="93"/>
      <c r="H472" s="93" t="s">
        <v>545</v>
      </c>
      <c r="I472" s="93" t="s">
        <v>81</v>
      </c>
      <c r="J472" s="93"/>
      <c r="K472" s="93"/>
      <c r="L472" s="93"/>
      <c r="M472" s="93" t="s">
        <v>61</v>
      </c>
      <c r="N472" s="93"/>
    </row>
    <row r="473" ht="18.0" customHeight="1">
      <c r="A473" s="99">
        <v>470.0</v>
      </c>
      <c r="B473" s="99"/>
      <c r="C473" s="99"/>
      <c r="D473" s="99"/>
      <c r="E473" s="99"/>
      <c r="F473" s="99"/>
      <c r="G473" s="99"/>
      <c r="H473" s="99" t="s">
        <v>545</v>
      </c>
      <c r="I473" s="99" t="s">
        <v>81</v>
      </c>
      <c r="J473" s="99"/>
      <c r="K473" s="99"/>
      <c r="L473" s="99"/>
      <c r="M473" s="99" t="s">
        <v>61</v>
      </c>
      <c r="N473" s="99"/>
    </row>
    <row r="474" ht="18.0" customHeight="1">
      <c r="A474" s="93">
        <v>471.0</v>
      </c>
      <c r="B474" s="93"/>
      <c r="C474" s="93"/>
      <c r="D474" s="93"/>
      <c r="E474" s="93"/>
      <c r="F474" s="93"/>
      <c r="G474" s="93"/>
      <c r="H474" s="93" t="s">
        <v>545</v>
      </c>
      <c r="I474" s="93" t="s">
        <v>81</v>
      </c>
      <c r="J474" s="93"/>
      <c r="K474" s="93"/>
      <c r="L474" s="93"/>
      <c r="M474" s="93" t="s">
        <v>61</v>
      </c>
      <c r="N474" s="93"/>
    </row>
    <row r="475" ht="18.0" customHeight="1">
      <c r="A475" s="99">
        <v>472.0</v>
      </c>
      <c r="B475" s="99"/>
      <c r="C475" s="99"/>
      <c r="D475" s="99"/>
      <c r="E475" s="99"/>
      <c r="F475" s="99"/>
      <c r="G475" s="99"/>
      <c r="H475" s="99" t="s">
        <v>545</v>
      </c>
      <c r="I475" s="99" t="s">
        <v>81</v>
      </c>
      <c r="J475" s="99"/>
      <c r="K475" s="99"/>
      <c r="L475" s="99"/>
      <c r="M475" s="99" t="s">
        <v>61</v>
      </c>
      <c r="N475" s="99"/>
    </row>
    <row r="476" ht="18.0" customHeight="1">
      <c r="A476" s="93">
        <v>473.0</v>
      </c>
      <c r="B476" s="93"/>
      <c r="C476" s="93"/>
      <c r="D476" s="93"/>
      <c r="E476" s="93"/>
      <c r="F476" s="93"/>
      <c r="G476" s="93"/>
      <c r="H476" s="93" t="s">
        <v>545</v>
      </c>
      <c r="I476" s="93" t="s">
        <v>81</v>
      </c>
      <c r="J476" s="93"/>
      <c r="K476" s="93"/>
      <c r="L476" s="93"/>
      <c r="M476" s="93" t="s">
        <v>61</v>
      </c>
      <c r="N476" s="93"/>
    </row>
    <row r="477" ht="18.0" customHeight="1">
      <c r="A477" s="99">
        <v>474.0</v>
      </c>
      <c r="B477" s="99"/>
      <c r="C477" s="99"/>
      <c r="D477" s="99"/>
      <c r="E477" s="99"/>
      <c r="F477" s="99"/>
      <c r="G477" s="99"/>
      <c r="H477" s="99" t="s">
        <v>545</v>
      </c>
      <c r="I477" s="99" t="s">
        <v>81</v>
      </c>
      <c r="J477" s="99"/>
      <c r="K477" s="99"/>
      <c r="L477" s="99"/>
      <c r="M477" s="99" t="s">
        <v>61</v>
      </c>
      <c r="N477" s="99"/>
    </row>
    <row r="478" ht="18.0" customHeight="1">
      <c r="A478" s="93">
        <v>475.0</v>
      </c>
      <c r="B478" s="93"/>
      <c r="C478" s="93"/>
      <c r="D478" s="93"/>
      <c r="E478" s="93"/>
      <c r="F478" s="93"/>
      <c r="G478" s="93"/>
      <c r="H478" s="93" t="s">
        <v>545</v>
      </c>
      <c r="I478" s="93" t="s">
        <v>81</v>
      </c>
      <c r="J478" s="93"/>
      <c r="K478" s="93"/>
      <c r="L478" s="93"/>
      <c r="M478" s="93" t="s">
        <v>61</v>
      </c>
      <c r="N478" s="93"/>
    </row>
    <row r="479" ht="18.0" customHeight="1">
      <c r="A479" s="99">
        <v>476.0</v>
      </c>
      <c r="B479" s="99"/>
      <c r="C479" s="99"/>
      <c r="D479" s="99"/>
      <c r="E479" s="99"/>
      <c r="F479" s="99"/>
      <c r="G479" s="99"/>
      <c r="H479" s="99" t="s">
        <v>545</v>
      </c>
      <c r="I479" s="99" t="s">
        <v>81</v>
      </c>
      <c r="J479" s="99"/>
      <c r="K479" s="99"/>
      <c r="L479" s="99"/>
      <c r="M479" s="99" t="s">
        <v>61</v>
      </c>
      <c r="N479" s="99"/>
    </row>
    <row r="480" ht="18.0" customHeight="1">
      <c r="A480" s="93">
        <v>477.0</v>
      </c>
      <c r="B480" s="93"/>
      <c r="C480" s="93"/>
      <c r="D480" s="93"/>
      <c r="E480" s="93"/>
      <c r="F480" s="93"/>
      <c r="G480" s="93"/>
      <c r="H480" s="93" t="s">
        <v>545</v>
      </c>
      <c r="I480" s="93" t="s">
        <v>81</v>
      </c>
      <c r="J480" s="93"/>
      <c r="K480" s="93"/>
      <c r="L480" s="93"/>
      <c r="M480" s="93" t="s">
        <v>61</v>
      </c>
      <c r="N480" s="93"/>
    </row>
    <row r="481" ht="18.0" customHeight="1">
      <c r="A481" s="99">
        <v>478.0</v>
      </c>
      <c r="B481" s="99"/>
      <c r="C481" s="99"/>
      <c r="D481" s="99"/>
      <c r="E481" s="99"/>
      <c r="F481" s="99"/>
      <c r="G481" s="99"/>
      <c r="H481" s="99" t="s">
        <v>545</v>
      </c>
      <c r="I481" s="99" t="s">
        <v>81</v>
      </c>
      <c r="J481" s="99"/>
      <c r="K481" s="99"/>
      <c r="L481" s="99"/>
      <c r="M481" s="99" t="s">
        <v>61</v>
      </c>
      <c r="N481" s="99"/>
    </row>
    <row r="482" ht="18.0" customHeight="1">
      <c r="A482" s="93">
        <v>479.0</v>
      </c>
      <c r="B482" s="93"/>
      <c r="C482" s="93"/>
      <c r="D482" s="93"/>
      <c r="E482" s="93"/>
      <c r="F482" s="93"/>
      <c r="G482" s="93"/>
      <c r="H482" s="93" t="s">
        <v>545</v>
      </c>
      <c r="I482" s="93" t="s">
        <v>81</v>
      </c>
      <c r="J482" s="93"/>
      <c r="K482" s="93"/>
      <c r="L482" s="93"/>
      <c r="M482" s="93" t="s">
        <v>61</v>
      </c>
      <c r="N482" s="93"/>
    </row>
    <row r="483" ht="18.0" customHeight="1">
      <c r="A483" s="99">
        <v>480.0</v>
      </c>
      <c r="B483" s="99"/>
      <c r="C483" s="99"/>
      <c r="D483" s="99"/>
      <c r="E483" s="99"/>
      <c r="F483" s="99"/>
      <c r="G483" s="99"/>
      <c r="H483" s="99" t="s">
        <v>545</v>
      </c>
      <c r="I483" s="99" t="s">
        <v>81</v>
      </c>
      <c r="J483" s="99"/>
      <c r="K483" s="99"/>
      <c r="L483" s="99"/>
      <c r="M483" s="99" t="s">
        <v>61</v>
      </c>
      <c r="N483" s="99"/>
    </row>
    <row r="484" ht="18.0" customHeight="1">
      <c r="A484" s="93">
        <v>481.0</v>
      </c>
      <c r="B484" s="93"/>
      <c r="C484" s="93"/>
      <c r="D484" s="93"/>
      <c r="E484" s="93"/>
      <c r="F484" s="93"/>
      <c r="G484" s="93"/>
      <c r="H484" s="93" t="s">
        <v>545</v>
      </c>
      <c r="I484" s="93" t="s">
        <v>81</v>
      </c>
      <c r="J484" s="93"/>
      <c r="K484" s="93"/>
      <c r="L484" s="93"/>
      <c r="M484" s="93" t="s">
        <v>61</v>
      </c>
      <c r="N484" s="93"/>
    </row>
    <row r="485" ht="18.0" customHeight="1">
      <c r="A485" s="99">
        <v>482.0</v>
      </c>
      <c r="B485" s="99"/>
      <c r="C485" s="99"/>
      <c r="D485" s="99"/>
      <c r="E485" s="99"/>
      <c r="F485" s="99"/>
      <c r="G485" s="99"/>
      <c r="H485" s="99" t="s">
        <v>545</v>
      </c>
      <c r="I485" s="99" t="s">
        <v>81</v>
      </c>
      <c r="J485" s="99"/>
      <c r="K485" s="99"/>
      <c r="L485" s="99"/>
      <c r="M485" s="99" t="s">
        <v>61</v>
      </c>
      <c r="N485" s="99"/>
    </row>
    <row r="486" ht="18.0" customHeight="1">
      <c r="A486" s="93">
        <v>483.0</v>
      </c>
      <c r="B486" s="93"/>
      <c r="C486" s="93"/>
      <c r="D486" s="93"/>
      <c r="E486" s="93"/>
      <c r="F486" s="93"/>
      <c r="G486" s="93"/>
      <c r="H486" s="93" t="s">
        <v>545</v>
      </c>
      <c r="I486" s="93" t="s">
        <v>81</v>
      </c>
      <c r="J486" s="93"/>
      <c r="K486" s="93"/>
      <c r="L486" s="93"/>
      <c r="M486" s="93" t="s">
        <v>61</v>
      </c>
      <c r="N486" s="93"/>
    </row>
    <row r="487" ht="18.0" customHeight="1">
      <c r="A487" s="99">
        <v>484.0</v>
      </c>
      <c r="B487" s="99"/>
      <c r="C487" s="99"/>
      <c r="D487" s="99"/>
      <c r="E487" s="99"/>
      <c r="F487" s="99"/>
      <c r="G487" s="99"/>
      <c r="H487" s="99" t="s">
        <v>545</v>
      </c>
      <c r="I487" s="99" t="s">
        <v>81</v>
      </c>
      <c r="J487" s="99"/>
      <c r="K487" s="99"/>
      <c r="L487" s="99"/>
      <c r="M487" s="99" t="s">
        <v>61</v>
      </c>
      <c r="N487" s="99"/>
    </row>
    <row r="488" ht="18.0" customHeight="1">
      <c r="A488" s="93">
        <v>485.0</v>
      </c>
      <c r="B488" s="93"/>
      <c r="C488" s="93"/>
      <c r="D488" s="93"/>
      <c r="E488" s="93"/>
      <c r="F488" s="93"/>
      <c r="G488" s="93"/>
      <c r="H488" s="93" t="s">
        <v>545</v>
      </c>
      <c r="I488" s="93" t="s">
        <v>81</v>
      </c>
      <c r="J488" s="93"/>
      <c r="K488" s="93"/>
      <c r="L488" s="93"/>
      <c r="M488" s="93" t="s">
        <v>61</v>
      </c>
      <c r="N488" s="93"/>
    </row>
    <row r="489" ht="18.0" customHeight="1">
      <c r="A489" s="99">
        <v>486.0</v>
      </c>
      <c r="B489" s="99"/>
      <c r="C489" s="99"/>
      <c r="D489" s="99"/>
      <c r="E489" s="99"/>
      <c r="F489" s="99"/>
      <c r="G489" s="99"/>
      <c r="H489" s="99" t="s">
        <v>545</v>
      </c>
      <c r="I489" s="99" t="s">
        <v>81</v>
      </c>
      <c r="J489" s="99"/>
      <c r="K489" s="99"/>
      <c r="L489" s="99"/>
      <c r="M489" s="99" t="s">
        <v>61</v>
      </c>
      <c r="N489" s="99"/>
    </row>
    <row r="490" ht="18.0" customHeight="1">
      <c r="A490" s="93">
        <v>487.0</v>
      </c>
      <c r="B490" s="93"/>
      <c r="C490" s="93"/>
      <c r="D490" s="93"/>
      <c r="E490" s="93"/>
      <c r="F490" s="93"/>
      <c r="G490" s="93"/>
      <c r="H490" s="93" t="s">
        <v>545</v>
      </c>
      <c r="I490" s="93" t="s">
        <v>81</v>
      </c>
      <c r="J490" s="93"/>
      <c r="K490" s="93"/>
      <c r="L490" s="93"/>
      <c r="M490" s="93" t="s">
        <v>61</v>
      </c>
      <c r="N490" s="93"/>
    </row>
    <row r="491" ht="18.0" customHeight="1">
      <c r="A491" s="99">
        <v>488.0</v>
      </c>
      <c r="B491" s="99"/>
      <c r="C491" s="99"/>
      <c r="D491" s="99"/>
      <c r="E491" s="99"/>
      <c r="F491" s="99"/>
      <c r="G491" s="99"/>
      <c r="H491" s="99" t="s">
        <v>545</v>
      </c>
      <c r="I491" s="99" t="s">
        <v>81</v>
      </c>
      <c r="J491" s="99"/>
      <c r="K491" s="99"/>
      <c r="L491" s="99"/>
      <c r="M491" s="99" t="s">
        <v>61</v>
      </c>
      <c r="N491" s="99"/>
    </row>
    <row r="492" ht="18.0" customHeight="1">
      <c r="A492" s="93">
        <v>489.0</v>
      </c>
      <c r="B492" s="93"/>
      <c r="C492" s="93"/>
      <c r="D492" s="93"/>
      <c r="E492" s="93"/>
      <c r="F492" s="93"/>
      <c r="G492" s="93"/>
      <c r="H492" s="93" t="s">
        <v>545</v>
      </c>
      <c r="I492" s="93" t="s">
        <v>81</v>
      </c>
      <c r="J492" s="93"/>
      <c r="K492" s="93"/>
      <c r="L492" s="93"/>
      <c r="M492" s="93" t="s">
        <v>61</v>
      </c>
      <c r="N492" s="93"/>
    </row>
    <row r="493" ht="18.0" customHeight="1">
      <c r="A493" s="99">
        <v>490.0</v>
      </c>
      <c r="B493" s="99"/>
      <c r="C493" s="99"/>
      <c r="D493" s="99"/>
      <c r="E493" s="99"/>
      <c r="F493" s="99"/>
      <c r="G493" s="99"/>
      <c r="H493" s="99" t="s">
        <v>545</v>
      </c>
      <c r="I493" s="99" t="s">
        <v>81</v>
      </c>
      <c r="J493" s="99"/>
      <c r="K493" s="99"/>
      <c r="L493" s="99"/>
      <c r="M493" s="99" t="s">
        <v>61</v>
      </c>
      <c r="N493" s="99"/>
    </row>
    <row r="494" ht="18.0" customHeight="1">
      <c r="A494" s="93">
        <v>491.0</v>
      </c>
      <c r="B494" s="93"/>
      <c r="C494" s="93"/>
      <c r="D494" s="93"/>
      <c r="E494" s="93"/>
      <c r="F494" s="93"/>
      <c r="G494" s="93"/>
      <c r="H494" s="93" t="s">
        <v>545</v>
      </c>
      <c r="I494" s="93" t="s">
        <v>81</v>
      </c>
      <c r="J494" s="93"/>
      <c r="K494" s="93"/>
      <c r="L494" s="93"/>
      <c r="M494" s="93" t="s">
        <v>61</v>
      </c>
      <c r="N494" s="93"/>
    </row>
    <row r="495" ht="18.0" customHeight="1">
      <c r="A495" s="99">
        <v>492.0</v>
      </c>
      <c r="B495" s="99"/>
      <c r="C495" s="99"/>
      <c r="D495" s="99"/>
      <c r="E495" s="99"/>
      <c r="F495" s="99"/>
      <c r="G495" s="99"/>
      <c r="H495" s="99" t="s">
        <v>545</v>
      </c>
      <c r="I495" s="99" t="s">
        <v>81</v>
      </c>
      <c r="J495" s="99"/>
      <c r="K495" s="99"/>
      <c r="L495" s="99"/>
      <c r="M495" s="99" t="s">
        <v>61</v>
      </c>
      <c r="N495" s="99"/>
    </row>
    <row r="496" ht="18.0" customHeight="1">
      <c r="A496" s="93">
        <v>493.0</v>
      </c>
      <c r="B496" s="93"/>
      <c r="C496" s="93"/>
      <c r="D496" s="93"/>
      <c r="E496" s="93"/>
      <c r="F496" s="93"/>
      <c r="G496" s="93"/>
      <c r="H496" s="93" t="s">
        <v>545</v>
      </c>
      <c r="I496" s="93" t="s">
        <v>81</v>
      </c>
      <c r="J496" s="93"/>
      <c r="K496" s="93"/>
      <c r="L496" s="93"/>
      <c r="M496" s="93" t="s">
        <v>61</v>
      </c>
      <c r="N496" s="93"/>
    </row>
    <row r="497" ht="18.0" customHeight="1">
      <c r="A497" s="99">
        <v>494.0</v>
      </c>
      <c r="B497" s="99"/>
      <c r="C497" s="99"/>
      <c r="D497" s="99"/>
      <c r="E497" s="99"/>
      <c r="F497" s="99"/>
      <c r="G497" s="99"/>
      <c r="H497" s="99" t="s">
        <v>545</v>
      </c>
      <c r="I497" s="99" t="s">
        <v>81</v>
      </c>
      <c r="J497" s="99"/>
      <c r="K497" s="99"/>
      <c r="L497" s="99"/>
      <c r="M497" s="99" t="s">
        <v>61</v>
      </c>
      <c r="N497" s="99"/>
    </row>
    <row r="498" ht="18.0" customHeight="1">
      <c r="A498" s="93">
        <v>495.0</v>
      </c>
      <c r="B498" s="93"/>
      <c r="C498" s="93"/>
      <c r="D498" s="93"/>
      <c r="E498" s="93"/>
      <c r="F498" s="93"/>
      <c r="G498" s="93"/>
      <c r="H498" s="93" t="s">
        <v>545</v>
      </c>
      <c r="I498" s="93" t="s">
        <v>81</v>
      </c>
      <c r="J498" s="93"/>
      <c r="K498" s="93"/>
      <c r="L498" s="93"/>
      <c r="M498" s="93" t="s">
        <v>61</v>
      </c>
      <c r="N498" s="93"/>
    </row>
    <row r="499" ht="18.0" customHeight="1">
      <c r="A499" s="99">
        <v>496.0</v>
      </c>
      <c r="B499" s="99"/>
      <c r="C499" s="99"/>
      <c r="D499" s="99"/>
      <c r="E499" s="99"/>
      <c r="F499" s="99"/>
      <c r="G499" s="99"/>
      <c r="H499" s="99" t="s">
        <v>545</v>
      </c>
      <c r="I499" s="99" t="s">
        <v>81</v>
      </c>
      <c r="J499" s="99"/>
      <c r="K499" s="99"/>
      <c r="L499" s="99"/>
      <c r="M499" s="99" t="s">
        <v>61</v>
      </c>
      <c r="N499" s="99"/>
    </row>
    <row r="500" ht="18.0" customHeight="1">
      <c r="A500" s="93">
        <v>497.0</v>
      </c>
      <c r="B500" s="93"/>
      <c r="C500" s="93"/>
      <c r="D500" s="93"/>
      <c r="E500" s="93"/>
      <c r="F500" s="93"/>
      <c r="G500" s="93"/>
      <c r="H500" s="93" t="s">
        <v>545</v>
      </c>
      <c r="I500" s="93" t="s">
        <v>81</v>
      </c>
      <c r="J500" s="93"/>
      <c r="K500" s="93"/>
      <c r="L500" s="93"/>
      <c r="M500" s="93" t="s">
        <v>61</v>
      </c>
      <c r="N500" s="93"/>
    </row>
    <row r="501" ht="18.0" customHeight="1">
      <c r="A501" s="99">
        <v>498.0</v>
      </c>
      <c r="B501" s="99"/>
      <c r="C501" s="99"/>
      <c r="D501" s="99"/>
      <c r="E501" s="99"/>
      <c r="F501" s="99"/>
      <c r="G501" s="99"/>
      <c r="H501" s="99" t="s">
        <v>545</v>
      </c>
      <c r="I501" s="99" t="s">
        <v>81</v>
      </c>
      <c r="J501" s="99"/>
      <c r="K501" s="99"/>
      <c r="L501" s="99"/>
      <c r="M501" s="99" t="s">
        <v>61</v>
      </c>
      <c r="N501" s="99"/>
    </row>
    <row r="502" ht="18.0" customHeight="1">
      <c r="A502" s="93">
        <v>499.0</v>
      </c>
      <c r="B502" s="93"/>
      <c r="C502" s="93"/>
      <c r="D502" s="93"/>
      <c r="E502" s="93"/>
      <c r="F502" s="93"/>
      <c r="G502" s="93"/>
      <c r="H502" s="93" t="s">
        <v>545</v>
      </c>
      <c r="I502" s="93" t="s">
        <v>81</v>
      </c>
      <c r="J502" s="93"/>
      <c r="K502" s="93"/>
      <c r="L502" s="93"/>
      <c r="M502" s="93" t="s">
        <v>61</v>
      </c>
      <c r="N502" s="93"/>
    </row>
    <row r="503" ht="18.0" customHeight="1">
      <c r="A503" s="99">
        <v>500.0</v>
      </c>
      <c r="B503" s="99"/>
      <c r="C503" s="99"/>
      <c r="D503" s="99"/>
      <c r="E503" s="99"/>
      <c r="F503" s="99"/>
      <c r="G503" s="99"/>
      <c r="H503" s="99" t="s">
        <v>545</v>
      </c>
      <c r="I503" s="99" t="s">
        <v>81</v>
      </c>
      <c r="J503" s="99"/>
      <c r="K503" s="99"/>
      <c r="L503" s="99"/>
      <c r="M503" s="99" t="s">
        <v>61</v>
      </c>
      <c r="N503" s="99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4" width="10.0"/>
    <col customWidth="1" min="5" max="5" width="12.0"/>
    <col customWidth="1" min="6" max="6" width="14.0"/>
    <col customWidth="1" min="7" max="8" width="16.0"/>
    <col customWidth="1" min="9" max="9" width="20.0"/>
    <col customWidth="1" min="10" max="11" width="12.0"/>
    <col customWidth="1" min="12" max="12" width="10.0"/>
    <col customWidth="1" min="13" max="13" width="14.0"/>
    <col customWidth="1" min="14" max="14" width="12.0"/>
    <col customWidth="1" min="15" max="15" width="20.0"/>
    <col customWidth="1" min="16" max="26" width="8.71"/>
  </cols>
  <sheetData>
    <row r="1" ht="39.75" customHeight="1">
      <c r="A1" s="25" t="s">
        <v>546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26" t="s">
        <v>547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4.5" customHeight="1">
      <c r="A3" s="6" t="s">
        <v>36</v>
      </c>
      <c r="B3" s="6" t="s">
        <v>548</v>
      </c>
      <c r="C3" s="6" t="s">
        <v>549</v>
      </c>
      <c r="D3" s="6" t="s">
        <v>550</v>
      </c>
      <c r="E3" s="6" t="s">
        <v>11</v>
      </c>
      <c r="F3" s="6" t="s">
        <v>551</v>
      </c>
      <c r="G3" s="6" t="s">
        <v>552</v>
      </c>
      <c r="H3" s="6" t="s">
        <v>553</v>
      </c>
      <c r="I3" s="6" t="s">
        <v>554</v>
      </c>
      <c r="J3" s="6" t="s">
        <v>555</v>
      </c>
      <c r="K3" s="6" t="s">
        <v>556</v>
      </c>
      <c r="L3" s="6" t="s">
        <v>19</v>
      </c>
      <c r="M3" s="6" t="s">
        <v>44</v>
      </c>
      <c r="N3" s="6" t="s">
        <v>557</v>
      </c>
      <c r="O3" s="6" t="s">
        <v>51</v>
      </c>
    </row>
    <row r="4" ht="18.0" customHeight="1">
      <c r="A4" s="99">
        <v>1.0</v>
      </c>
      <c r="B4" s="99">
        <v>1.0</v>
      </c>
      <c r="C4" s="99" t="s">
        <v>558</v>
      </c>
      <c r="D4" s="99"/>
      <c r="E4" s="99" t="s">
        <v>55</v>
      </c>
      <c r="F4" s="99" t="s">
        <v>559</v>
      </c>
      <c r="G4" s="99"/>
      <c r="H4" s="99"/>
      <c r="I4" s="99"/>
      <c r="J4" s="99"/>
      <c r="K4" s="99" t="s">
        <v>81</v>
      </c>
      <c r="L4" s="99"/>
      <c r="M4" s="99" t="s">
        <v>560</v>
      </c>
      <c r="N4" s="99"/>
      <c r="O4" s="99"/>
    </row>
    <row r="5" ht="18.0" customHeight="1">
      <c r="A5" s="93">
        <v>2.0</v>
      </c>
      <c r="B5" s="93">
        <v>1.0</v>
      </c>
      <c r="C5" s="93" t="s">
        <v>558</v>
      </c>
      <c r="D5" s="93"/>
      <c r="E5" s="93" t="s">
        <v>55</v>
      </c>
      <c r="F5" s="93" t="s">
        <v>561</v>
      </c>
      <c r="G5" s="93"/>
      <c r="H5" s="93"/>
      <c r="I5" s="93"/>
      <c r="J5" s="93"/>
      <c r="K5" s="93" t="s">
        <v>81</v>
      </c>
      <c r="L5" s="93"/>
      <c r="M5" s="93" t="s">
        <v>560</v>
      </c>
      <c r="N5" s="93"/>
      <c r="O5" s="93"/>
    </row>
    <row r="6" ht="18.0" customHeight="1">
      <c r="A6" s="99">
        <v>3.0</v>
      </c>
      <c r="B6" s="99">
        <v>1.0</v>
      </c>
      <c r="C6" s="99" t="s">
        <v>558</v>
      </c>
      <c r="D6" s="99"/>
      <c r="E6" s="99" t="s">
        <v>55</v>
      </c>
      <c r="F6" s="99" t="s">
        <v>562</v>
      </c>
      <c r="G6" s="99"/>
      <c r="H6" s="99"/>
      <c r="I6" s="99"/>
      <c r="J6" s="99"/>
      <c r="K6" s="99" t="s">
        <v>81</v>
      </c>
      <c r="L6" s="99"/>
      <c r="M6" s="99" t="s">
        <v>560</v>
      </c>
      <c r="N6" s="99"/>
      <c r="O6" s="99"/>
    </row>
    <row r="7" ht="18.0" customHeight="1">
      <c r="A7" s="93">
        <v>4.0</v>
      </c>
      <c r="B7" s="93">
        <v>1.0</v>
      </c>
      <c r="C7" s="93" t="s">
        <v>563</v>
      </c>
      <c r="D7" s="93"/>
      <c r="E7" s="93" t="s">
        <v>55</v>
      </c>
      <c r="F7" s="93" t="s">
        <v>559</v>
      </c>
      <c r="G7" s="93"/>
      <c r="H7" s="93"/>
      <c r="I7" s="93"/>
      <c r="J7" s="93"/>
      <c r="K7" s="93" t="s">
        <v>81</v>
      </c>
      <c r="L7" s="93"/>
      <c r="M7" s="93" t="s">
        <v>560</v>
      </c>
      <c r="N7" s="93"/>
      <c r="O7" s="93"/>
    </row>
    <row r="8" ht="18.0" customHeight="1">
      <c r="A8" s="99">
        <v>5.0</v>
      </c>
      <c r="B8" s="99">
        <v>1.0</v>
      </c>
      <c r="C8" s="99" t="s">
        <v>563</v>
      </c>
      <c r="D8" s="99"/>
      <c r="E8" s="99" t="s">
        <v>55</v>
      </c>
      <c r="F8" s="99" t="s">
        <v>561</v>
      </c>
      <c r="G8" s="99"/>
      <c r="H8" s="99"/>
      <c r="I8" s="99"/>
      <c r="J8" s="99"/>
      <c r="K8" s="99" t="s">
        <v>81</v>
      </c>
      <c r="L8" s="99"/>
      <c r="M8" s="99" t="s">
        <v>560</v>
      </c>
      <c r="N8" s="99"/>
      <c r="O8" s="99"/>
    </row>
    <row r="9" ht="18.0" customHeight="1">
      <c r="A9" s="93">
        <v>6.0</v>
      </c>
      <c r="B9" s="93">
        <v>1.0</v>
      </c>
      <c r="C9" s="93" t="s">
        <v>563</v>
      </c>
      <c r="D9" s="93"/>
      <c r="E9" s="93" t="s">
        <v>55</v>
      </c>
      <c r="F9" s="93" t="s">
        <v>562</v>
      </c>
      <c r="G9" s="93"/>
      <c r="H9" s="93"/>
      <c r="I9" s="93"/>
      <c r="J9" s="93"/>
      <c r="K9" s="93" t="s">
        <v>81</v>
      </c>
      <c r="L9" s="93"/>
      <c r="M9" s="93" t="s">
        <v>560</v>
      </c>
      <c r="N9" s="93"/>
      <c r="O9" s="93"/>
    </row>
    <row r="10" ht="18.0" customHeight="1">
      <c r="A10" s="99">
        <v>7.0</v>
      </c>
      <c r="B10" s="99">
        <v>1.0</v>
      </c>
      <c r="C10" s="99" t="s">
        <v>564</v>
      </c>
      <c r="D10" s="99"/>
      <c r="E10" s="99" t="s">
        <v>55</v>
      </c>
      <c r="F10" s="99" t="s">
        <v>559</v>
      </c>
      <c r="G10" s="99"/>
      <c r="H10" s="99"/>
      <c r="I10" s="99"/>
      <c r="J10" s="99"/>
      <c r="K10" s="99" t="s">
        <v>81</v>
      </c>
      <c r="L10" s="99"/>
      <c r="M10" s="99" t="s">
        <v>560</v>
      </c>
      <c r="N10" s="99"/>
      <c r="O10" s="99"/>
    </row>
    <row r="11" ht="18.0" customHeight="1">
      <c r="A11" s="93">
        <v>8.0</v>
      </c>
      <c r="B11" s="93">
        <v>1.0</v>
      </c>
      <c r="C11" s="93" t="s">
        <v>564</v>
      </c>
      <c r="D11" s="93"/>
      <c r="E11" s="93" t="s">
        <v>55</v>
      </c>
      <c r="F11" s="93" t="s">
        <v>561</v>
      </c>
      <c r="G11" s="93"/>
      <c r="H11" s="93"/>
      <c r="I11" s="93"/>
      <c r="J11" s="93"/>
      <c r="K11" s="93" t="s">
        <v>81</v>
      </c>
      <c r="L11" s="93"/>
      <c r="M11" s="93" t="s">
        <v>560</v>
      </c>
      <c r="N11" s="93"/>
      <c r="O11" s="93"/>
    </row>
    <row r="12" ht="18.0" customHeight="1">
      <c r="A12" s="99">
        <v>9.0</v>
      </c>
      <c r="B12" s="99">
        <v>1.0</v>
      </c>
      <c r="C12" s="99" t="s">
        <v>564</v>
      </c>
      <c r="D12" s="99"/>
      <c r="E12" s="99" t="s">
        <v>55</v>
      </c>
      <c r="F12" s="99" t="s">
        <v>562</v>
      </c>
      <c r="G12" s="99"/>
      <c r="H12" s="99"/>
      <c r="I12" s="99"/>
      <c r="J12" s="99"/>
      <c r="K12" s="99" t="s">
        <v>81</v>
      </c>
      <c r="L12" s="99"/>
      <c r="M12" s="99" t="s">
        <v>560</v>
      </c>
      <c r="N12" s="99"/>
      <c r="O12" s="99"/>
    </row>
    <row r="13" ht="18.0" customHeight="1">
      <c r="A13" s="93">
        <v>10.0</v>
      </c>
      <c r="B13" s="93">
        <v>1.0</v>
      </c>
      <c r="C13" s="93" t="s">
        <v>565</v>
      </c>
      <c r="D13" s="93"/>
      <c r="E13" s="93" t="s">
        <v>55</v>
      </c>
      <c r="F13" s="93" t="s">
        <v>559</v>
      </c>
      <c r="G13" s="93"/>
      <c r="H13" s="93"/>
      <c r="I13" s="93"/>
      <c r="J13" s="93"/>
      <c r="K13" s="93" t="s">
        <v>81</v>
      </c>
      <c r="L13" s="93"/>
      <c r="M13" s="93" t="s">
        <v>560</v>
      </c>
      <c r="N13" s="93"/>
      <c r="O13" s="93"/>
    </row>
    <row r="14" ht="18.0" customHeight="1">
      <c r="A14" s="99">
        <v>11.0</v>
      </c>
      <c r="B14" s="99">
        <v>1.0</v>
      </c>
      <c r="C14" s="99" t="s">
        <v>565</v>
      </c>
      <c r="D14" s="99"/>
      <c r="E14" s="99" t="s">
        <v>55</v>
      </c>
      <c r="F14" s="99" t="s">
        <v>561</v>
      </c>
      <c r="G14" s="99"/>
      <c r="H14" s="99"/>
      <c r="I14" s="99"/>
      <c r="J14" s="99"/>
      <c r="K14" s="99" t="s">
        <v>81</v>
      </c>
      <c r="L14" s="99"/>
      <c r="M14" s="99" t="s">
        <v>560</v>
      </c>
      <c r="N14" s="99"/>
      <c r="O14" s="99"/>
    </row>
    <row r="15" ht="18.0" customHeight="1">
      <c r="A15" s="93">
        <v>12.0</v>
      </c>
      <c r="B15" s="93">
        <v>1.0</v>
      </c>
      <c r="C15" s="93" t="s">
        <v>565</v>
      </c>
      <c r="D15" s="93"/>
      <c r="E15" s="93" t="s">
        <v>55</v>
      </c>
      <c r="F15" s="93" t="s">
        <v>562</v>
      </c>
      <c r="G15" s="93"/>
      <c r="H15" s="93"/>
      <c r="I15" s="93"/>
      <c r="J15" s="93"/>
      <c r="K15" s="93" t="s">
        <v>81</v>
      </c>
      <c r="L15" s="93"/>
      <c r="M15" s="93" t="s">
        <v>560</v>
      </c>
      <c r="N15" s="93"/>
      <c r="O15" s="93"/>
    </row>
    <row r="16" ht="18.0" customHeight="1">
      <c r="A16" s="99">
        <v>13.0</v>
      </c>
      <c r="B16" s="99">
        <v>1.0</v>
      </c>
      <c r="C16" s="99" t="s">
        <v>566</v>
      </c>
      <c r="D16" s="99"/>
      <c r="E16" s="99" t="s">
        <v>55</v>
      </c>
      <c r="F16" s="99" t="s">
        <v>559</v>
      </c>
      <c r="G16" s="99"/>
      <c r="H16" s="99"/>
      <c r="I16" s="99"/>
      <c r="J16" s="99"/>
      <c r="K16" s="99" t="s">
        <v>81</v>
      </c>
      <c r="L16" s="99"/>
      <c r="M16" s="99" t="s">
        <v>560</v>
      </c>
      <c r="N16" s="99"/>
      <c r="O16" s="99"/>
    </row>
    <row r="17" ht="18.0" customHeight="1">
      <c r="A17" s="93">
        <v>14.0</v>
      </c>
      <c r="B17" s="93">
        <v>1.0</v>
      </c>
      <c r="C17" s="93" t="s">
        <v>566</v>
      </c>
      <c r="D17" s="93"/>
      <c r="E17" s="93" t="s">
        <v>55</v>
      </c>
      <c r="F17" s="93" t="s">
        <v>561</v>
      </c>
      <c r="G17" s="93"/>
      <c r="H17" s="93"/>
      <c r="I17" s="93"/>
      <c r="J17" s="93"/>
      <c r="K17" s="93" t="s">
        <v>81</v>
      </c>
      <c r="L17" s="93"/>
      <c r="M17" s="93" t="s">
        <v>560</v>
      </c>
      <c r="N17" s="93"/>
      <c r="O17" s="93"/>
    </row>
    <row r="18" ht="18.0" customHeight="1">
      <c r="A18" s="99">
        <v>15.0</v>
      </c>
      <c r="B18" s="99">
        <v>1.0</v>
      </c>
      <c r="C18" s="99" t="s">
        <v>566</v>
      </c>
      <c r="D18" s="99"/>
      <c r="E18" s="99" t="s">
        <v>55</v>
      </c>
      <c r="F18" s="99" t="s">
        <v>562</v>
      </c>
      <c r="G18" s="99"/>
      <c r="H18" s="99"/>
      <c r="I18" s="99"/>
      <c r="J18" s="99"/>
      <c r="K18" s="99" t="s">
        <v>81</v>
      </c>
      <c r="L18" s="99"/>
      <c r="M18" s="99" t="s">
        <v>560</v>
      </c>
      <c r="N18" s="99"/>
      <c r="O18" s="99"/>
    </row>
    <row r="19" ht="18.0" customHeight="1">
      <c r="A19" s="93">
        <v>16.0</v>
      </c>
      <c r="B19" s="93">
        <v>1.0</v>
      </c>
      <c r="C19" s="93" t="s">
        <v>567</v>
      </c>
      <c r="D19" s="93"/>
      <c r="E19" s="93" t="s">
        <v>55</v>
      </c>
      <c r="F19" s="93" t="s">
        <v>559</v>
      </c>
      <c r="G19" s="93"/>
      <c r="H19" s="93"/>
      <c r="I19" s="93"/>
      <c r="J19" s="93"/>
      <c r="K19" s="93" t="s">
        <v>81</v>
      </c>
      <c r="L19" s="93"/>
      <c r="M19" s="93" t="s">
        <v>560</v>
      </c>
      <c r="N19" s="93"/>
      <c r="O19" s="93"/>
    </row>
    <row r="20" ht="18.0" customHeight="1">
      <c r="A20" s="99">
        <v>17.0</v>
      </c>
      <c r="B20" s="99">
        <v>1.0</v>
      </c>
      <c r="C20" s="99" t="s">
        <v>567</v>
      </c>
      <c r="D20" s="99"/>
      <c r="E20" s="99" t="s">
        <v>55</v>
      </c>
      <c r="F20" s="99" t="s">
        <v>561</v>
      </c>
      <c r="G20" s="99"/>
      <c r="H20" s="99"/>
      <c r="I20" s="99"/>
      <c r="J20" s="99"/>
      <c r="K20" s="99" t="s">
        <v>81</v>
      </c>
      <c r="L20" s="99"/>
      <c r="M20" s="99" t="s">
        <v>560</v>
      </c>
      <c r="N20" s="99"/>
      <c r="O20" s="99"/>
    </row>
    <row r="21" ht="18.0" customHeight="1">
      <c r="A21" s="93">
        <v>18.0</v>
      </c>
      <c r="B21" s="93">
        <v>1.0</v>
      </c>
      <c r="C21" s="93" t="s">
        <v>567</v>
      </c>
      <c r="D21" s="93"/>
      <c r="E21" s="93" t="s">
        <v>55</v>
      </c>
      <c r="F21" s="93" t="s">
        <v>562</v>
      </c>
      <c r="G21" s="93"/>
      <c r="H21" s="93"/>
      <c r="I21" s="93"/>
      <c r="J21" s="93"/>
      <c r="K21" s="93" t="s">
        <v>81</v>
      </c>
      <c r="L21" s="93"/>
      <c r="M21" s="93" t="s">
        <v>560</v>
      </c>
      <c r="N21" s="93"/>
      <c r="O21" s="93"/>
    </row>
    <row r="22" ht="18.0" customHeight="1">
      <c r="A22" s="99">
        <v>19.0</v>
      </c>
      <c r="B22" s="99">
        <v>1.0</v>
      </c>
      <c r="C22" s="99" t="s">
        <v>568</v>
      </c>
      <c r="D22" s="99"/>
      <c r="E22" s="99" t="s">
        <v>55</v>
      </c>
      <c r="F22" s="99" t="s">
        <v>559</v>
      </c>
      <c r="G22" s="99"/>
      <c r="H22" s="99"/>
      <c r="I22" s="99"/>
      <c r="J22" s="99"/>
      <c r="K22" s="99" t="s">
        <v>81</v>
      </c>
      <c r="L22" s="99"/>
      <c r="M22" s="99" t="s">
        <v>560</v>
      </c>
      <c r="N22" s="99"/>
      <c r="O22" s="99"/>
    </row>
    <row r="23" ht="18.0" customHeight="1">
      <c r="A23" s="93">
        <v>20.0</v>
      </c>
      <c r="B23" s="93">
        <v>1.0</v>
      </c>
      <c r="C23" s="93" t="s">
        <v>568</v>
      </c>
      <c r="D23" s="93"/>
      <c r="E23" s="93" t="s">
        <v>55</v>
      </c>
      <c r="F23" s="93" t="s">
        <v>561</v>
      </c>
      <c r="G23" s="93"/>
      <c r="H23" s="93"/>
      <c r="I23" s="93"/>
      <c r="J23" s="93"/>
      <c r="K23" s="93" t="s">
        <v>81</v>
      </c>
      <c r="L23" s="93"/>
      <c r="M23" s="93" t="s">
        <v>560</v>
      </c>
      <c r="N23" s="93"/>
      <c r="O23" s="93"/>
    </row>
    <row r="24" ht="18.0" customHeight="1">
      <c r="A24" s="99">
        <v>21.0</v>
      </c>
      <c r="B24" s="99">
        <v>1.0</v>
      </c>
      <c r="C24" s="99" t="s">
        <v>568</v>
      </c>
      <c r="D24" s="99"/>
      <c r="E24" s="99" t="s">
        <v>55</v>
      </c>
      <c r="F24" s="99" t="s">
        <v>562</v>
      </c>
      <c r="G24" s="99"/>
      <c r="H24" s="99"/>
      <c r="I24" s="99"/>
      <c r="J24" s="99"/>
      <c r="K24" s="99" t="s">
        <v>81</v>
      </c>
      <c r="L24" s="99"/>
      <c r="M24" s="99" t="s">
        <v>560</v>
      </c>
      <c r="N24" s="99"/>
      <c r="O24" s="99"/>
    </row>
    <row r="25" ht="18.0" customHeight="1">
      <c r="A25" s="93">
        <v>22.0</v>
      </c>
      <c r="B25" s="93">
        <v>2.0</v>
      </c>
      <c r="C25" s="93" t="s">
        <v>558</v>
      </c>
      <c r="D25" s="93"/>
      <c r="E25" s="93" t="s">
        <v>55</v>
      </c>
      <c r="F25" s="93" t="s">
        <v>559</v>
      </c>
      <c r="G25" s="93"/>
      <c r="H25" s="93"/>
      <c r="I25" s="93"/>
      <c r="J25" s="93"/>
      <c r="K25" s="93" t="s">
        <v>81</v>
      </c>
      <c r="L25" s="93"/>
      <c r="M25" s="93" t="s">
        <v>560</v>
      </c>
      <c r="N25" s="93"/>
      <c r="O25" s="93"/>
    </row>
    <row r="26" ht="18.0" customHeight="1">
      <c r="A26" s="99">
        <v>23.0</v>
      </c>
      <c r="B26" s="99">
        <v>2.0</v>
      </c>
      <c r="C26" s="99" t="s">
        <v>558</v>
      </c>
      <c r="D26" s="99"/>
      <c r="E26" s="99" t="s">
        <v>55</v>
      </c>
      <c r="F26" s="99" t="s">
        <v>561</v>
      </c>
      <c r="G26" s="99"/>
      <c r="H26" s="99"/>
      <c r="I26" s="99"/>
      <c r="J26" s="99"/>
      <c r="K26" s="99" t="s">
        <v>81</v>
      </c>
      <c r="L26" s="99"/>
      <c r="M26" s="99" t="s">
        <v>560</v>
      </c>
      <c r="N26" s="99"/>
      <c r="O26" s="99"/>
    </row>
    <row r="27" ht="18.0" customHeight="1">
      <c r="A27" s="93">
        <v>24.0</v>
      </c>
      <c r="B27" s="93">
        <v>2.0</v>
      </c>
      <c r="C27" s="93" t="s">
        <v>558</v>
      </c>
      <c r="D27" s="93"/>
      <c r="E27" s="93" t="s">
        <v>55</v>
      </c>
      <c r="F27" s="93" t="s">
        <v>562</v>
      </c>
      <c r="G27" s="93"/>
      <c r="H27" s="93"/>
      <c r="I27" s="93"/>
      <c r="J27" s="93"/>
      <c r="K27" s="93" t="s">
        <v>81</v>
      </c>
      <c r="L27" s="93"/>
      <c r="M27" s="93" t="s">
        <v>560</v>
      </c>
      <c r="N27" s="93"/>
      <c r="O27" s="93"/>
    </row>
    <row r="28" ht="18.0" customHeight="1">
      <c r="A28" s="99">
        <v>25.0</v>
      </c>
      <c r="B28" s="99">
        <v>2.0</v>
      </c>
      <c r="C28" s="99" t="s">
        <v>563</v>
      </c>
      <c r="D28" s="99"/>
      <c r="E28" s="99" t="s">
        <v>55</v>
      </c>
      <c r="F28" s="99" t="s">
        <v>559</v>
      </c>
      <c r="G28" s="99"/>
      <c r="H28" s="99"/>
      <c r="I28" s="99"/>
      <c r="J28" s="99"/>
      <c r="K28" s="99" t="s">
        <v>81</v>
      </c>
      <c r="L28" s="99"/>
      <c r="M28" s="99" t="s">
        <v>560</v>
      </c>
      <c r="N28" s="99"/>
      <c r="O28" s="99"/>
    </row>
    <row r="29" ht="18.0" customHeight="1">
      <c r="A29" s="93">
        <v>26.0</v>
      </c>
      <c r="B29" s="93">
        <v>2.0</v>
      </c>
      <c r="C29" s="93" t="s">
        <v>563</v>
      </c>
      <c r="D29" s="93"/>
      <c r="E29" s="93" t="s">
        <v>55</v>
      </c>
      <c r="F29" s="93" t="s">
        <v>561</v>
      </c>
      <c r="G29" s="93"/>
      <c r="H29" s="93"/>
      <c r="I29" s="93"/>
      <c r="J29" s="93"/>
      <c r="K29" s="93" t="s">
        <v>81</v>
      </c>
      <c r="L29" s="93"/>
      <c r="M29" s="93" t="s">
        <v>560</v>
      </c>
      <c r="N29" s="93"/>
      <c r="O29" s="93"/>
    </row>
    <row r="30" ht="18.0" customHeight="1">
      <c r="A30" s="99">
        <v>27.0</v>
      </c>
      <c r="B30" s="99">
        <v>2.0</v>
      </c>
      <c r="C30" s="99" t="s">
        <v>563</v>
      </c>
      <c r="D30" s="99"/>
      <c r="E30" s="99" t="s">
        <v>55</v>
      </c>
      <c r="F30" s="99" t="s">
        <v>562</v>
      </c>
      <c r="G30" s="99"/>
      <c r="H30" s="99"/>
      <c r="I30" s="99"/>
      <c r="J30" s="99"/>
      <c r="K30" s="99" t="s">
        <v>81</v>
      </c>
      <c r="L30" s="99"/>
      <c r="M30" s="99" t="s">
        <v>560</v>
      </c>
      <c r="N30" s="99"/>
      <c r="O30" s="99"/>
    </row>
    <row r="31" ht="18.0" customHeight="1">
      <c r="A31" s="93">
        <v>28.0</v>
      </c>
      <c r="B31" s="93">
        <v>2.0</v>
      </c>
      <c r="C31" s="93" t="s">
        <v>564</v>
      </c>
      <c r="D31" s="93"/>
      <c r="E31" s="93" t="s">
        <v>55</v>
      </c>
      <c r="F31" s="93" t="s">
        <v>559</v>
      </c>
      <c r="G31" s="93"/>
      <c r="H31" s="93"/>
      <c r="I31" s="93"/>
      <c r="J31" s="93"/>
      <c r="K31" s="93" t="s">
        <v>81</v>
      </c>
      <c r="L31" s="93"/>
      <c r="M31" s="93" t="s">
        <v>560</v>
      </c>
      <c r="N31" s="93"/>
      <c r="O31" s="93"/>
    </row>
    <row r="32" ht="18.0" customHeight="1">
      <c r="A32" s="99">
        <v>29.0</v>
      </c>
      <c r="B32" s="99">
        <v>2.0</v>
      </c>
      <c r="C32" s="99" t="s">
        <v>564</v>
      </c>
      <c r="D32" s="99"/>
      <c r="E32" s="99" t="s">
        <v>55</v>
      </c>
      <c r="F32" s="99" t="s">
        <v>561</v>
      </c>
      <c r="G32" s="99"/>
      <c r="H32" s="99"/>
      <c r="I32" s="99"/>
      <c r="J32" s="99"/>
      <c r="K32" s="99" t="s">
        <v>81</v>
      </c>
      <c r="L32" s="99"/>
      <c r="M32" s="99" t="s">
        <v>560</v>
      </c>
      <c r="N32" s="99"/>
      <c r="O32" s="99"/>
    </row>
    <row r="33" ht="18.0" customHeight="1">
      <c r="A33" s="93">
        <v>30.0</v>
      </c>
      <c r="B33" s="93">
        <v>2.0</v>
      </c>
      <c r="C33" s="93" t="s">
        <v>564</v>
      </c>
      <c r="D33" s="93"/>
      <c r="E33" s="93" t="s">
        <v>55</v>
      </c>
      <c r="F33" s="93" t="s">
        <v>562</v>
      </c>
      <c r="G33" s="93"/>
      <c r="H33" s="93"/>
      <c r="I33" s="93"/>
      <c r="J33" s="93"/>
      <c r="K33" s="93" t="s">
        <v>81</v>
      </c>
      <c r="L33" s="93"/>
      <c r="M33" s="93" t="s">
        <v>560</v>
      </c>
      <c r="N33" s="93"/>
      <c r="O33" s="93"/>
    </row>
    <row r="34" ht="18.0" customHeight="1">
      <c r="A34" s="99">
        <v>31.0</v>
      </c>
      <c r="B34" s="99">
        <v>2.0</v>
      </c>
      <c r="C34" s="99" t="s">
        <v>565</v>
      </c>
      <c r="D34" s="99"/>
      <c r="E34" s="99" t="s">
        <v>55</v>
      </c>
      <c r="F34" s="99" t="s">
        <v>559</v>
      </c>
      <c r="G34" s="99"/>
      <c r="H34" s="99"/>
      <c r="I34" s="99"/>
      <c r="J34" s="99"/>
      <c r="K34" s="99" t="s">
        <v>81</v>
      </c>
      <c r="L34" s="99"/>
      <c r="M34" s="99" t="s">
        <v>560</v>
      </c>
      <c r="N34" s="99"/>
      <c r="O34" s="99"/>
    </row>
    <row r="35" ht="18.0" customHeight="1">
      <c r="A35" s="93">
        <v>32.0</v>
      </c>
      <c r="B35" s="93">
        <v>2.0</v>
      </c>
      <c r="C35" s="93" t="s">
        <v>565</v>
      </c>
      <c r="D35" s="93"/>
      <c r="E35" s="93" t="s">
        <v>55</v>
      </c>
      <c r="F35" s="93" t="s">
        <v>561</v>
      </c>
      <c r="G35" s="93"/>
      <c r="H35" s="93"/>
      <c r="I35" s="93"/>
      <c r="J35" s="93"/>
      <c r="K35" s="93" t="s">
        <v>81</v>
      </c>
      <c r="L35" s="93"/>
      <c r="M35" s="93" t="s">
        <v>560</v>
      </c>
      <c r="N35" s="93"/>
      <c r="O35" s="93"/>
    </row>
    <row r="36" ht="18.0" customHeight="1">
      <c r="A36" s="99">
        <v>33.0</v>
      </c>
      <c r="B36" s="99">
        <v>2.0</v>
      </c>
      <c r="C36" s="99" t="s">
        <v>565</v>
      </c>
      <c r="D36" s="99"/>
      <c r="E36" s="99" t="s">
        <v>55</v>
      </c>
      <c r="F36" s="99" t="s">
        <v>562</v>
      </c>
      <c r="G36" s="99"/>
      <c r="H36" s="99"/>
      <c r="I36" s="99"/>
      <c r="J36" s="99"/>
      <c r="K36" s="99" t="s">
        <v>81</v>
      </c>
      <c r="L36" s="99"/>
      <c r="M36" s="99" t="s">
        <v>560</v>
      </c>
      <c r="N36" s="99"/>
      <c r="O36" s="99"/>
    </row>
    <row r="37" ht="18.0" customHeight="1">
      <c r="A37" s="93">
        <v>34.0</v>
      </c>
      <c r="B37" s="93">
        <v>2.0</v>
      </c>
      <c r="C37" s="93" t="s">
        <v>566</v>
      </c>
      <c r="D37" s="93"/>
      <c r="E37" s="93" t="s">
        <v>55</v>
      </c>
      <c r="F37" s="93" t="s">
        <v>559</v>
      </c>
      <c r="G37" s="93"/>
      <c r="H37" s="93"/>
      <c r="I37" s="93"/>
      <c r="J37" s="93"/>
      <c r="K37" s="93" t="s">
        <v>81</v>
      </c>
      <c r="L37" s="93"/>
      <c r="M37" s="93" t="s">
        <v>560</v>
      </c>
      <c r="N37" s="93"/>
      <c r="O37" s="93"/>
    </row>
    <row r="38" ht="18.0" customHeight="1">
      <c r="A38" s="99">
        <v>35.0</v>
      </c>
      <c r="B38" s="99">
        <v>2.0</v>
      </c>
      <c r="C38" s="99" t="s">
        <v>566</v>
      </c>
      <c r="D38" s="99"/>
      <c r="E38" s="99" t="s">
        <v>55</v>
      </c>
      <c r="F38" s="99" t="s">
        <v>561</v>
      </c>
      <c r="G38" s="99"/>
      <c r="H38" s="99"/>
      <c r="I38" s="99"/>
      <c r="J38" s="99"/>
      <c r="K38" s="99" t="s">
        <v>81</v>
      </c>
      <c r="L38" s="99"/>
      <c r="M38" s="99" t="s">
        <v>560</v>
      </c>
      <c r="N38" s="99"/>
      <c r="O38" s="99"/>
    </row>
    <row r="39" ht="18.0" customHeight="1">
      <c r="A39" s="93">
        <v>36.0</v>
      </c>
      <c r="B39" s="93">
        <v>2.0</v>
      </c>
      <c r="C39" s="93" t="s">
        <v>566</v>
      </c>
      <c r="D39" s="93"/>
      <c r="E39" s="93" t="s">
        <v>55</v>
      </c>
      <c r="F39" s="93" t="s">
        <v>562</v>
      </c>
      <c r="G39" s="93"/>
      <c r="H39" s="93"/>
      <c r="I39" s="93"/>
      <c r="J39" s="93"/>
      <c r="K39" s="93" t="s">
        <v>81</v>
      </c>
      <c r="L39" s="93"/>
      <c r="M39" s="93" t="s">
        <v>560</v>
      </c>
      <c r="N39" s="93"/>
      <c r="O39" s="93"/>
    </row>
    <row r="40" ht="18.0" customHeight="1">
      <c r="A40" s="99">
        <v>37.0</v>
      </c>
      <c r="B40" s="99">
        <v>2.0</v>
      </c>
      <c r="C40" s="99" t="s">
        <v>567</v>
      </c>
      <c r="D40" s="99"/>
      <c r="E40" s="99" t="s">
        <v>55</v>
      </c>
      <c r="F40" s="99" t="s">
        <v>559</v>
      </c>
      <c r="G40" s="99"/>
      <c r="H40" s="99"/>
      <c r="I40" s="99"/>
      <c r="J40" s="99"/>
      <c r="K40" s="99" t="s">
        <v>81</v>
      </c>
      <c r="L40" s="99"/>
      <c r="M40" s="99" t="s">
        <v>560</v>
      </c>
      <c r="N40" s="99"/>
      <c r="O40" s="99"/>
    </row>
    <row r="41" ht="18.0" customHeight="1">
      <c r="A41" s="93">
        <v>38.0</v>
      </c>
      <c r="B41" s="93">
        <v>2.0</v>
      </c>
      <c r="C41" s="93" t="s">
        <v>567</v>
      </c>
      <c r="D41" s="93"/>
      <c r="E41" s="93" t="s">
        <v>55</v>
      </c>
      <c r="F41" s="93" t="s">
        <v>561</v>
      </c>
      <c r="G41" s="93"/>
      <c r="H41" s="93"/>
      <c r="I41" s="93"/>
      <c r="J41" s="93"/>
      <c r="K41" s="93" t="s">
        <v>81</v>
      </c>
      <c r="L41" s="93"/>
      <c r="M41" s="93" t="s">
        <v>560</v>
      </c>
      <c r="N41" s="93"/>
      <c r="O41" s="93"/>
    </row>
    <row r="42" ht="18.0" customHeight="1">
      <c r="A42" s="99">
        <v>39.0</v>
      </c>
      <c r="B42" s="99">
        <v>2.0</v>
      </c>
      <c r="C42" s="99" t="s">
        <v>567</v>
      </c>
      <c r="D42" s="99"/>
      <c r="E42" s="99" t="s">
        <v>55</v>
      </c>
      <c r="F42" s="99" t="s">
        <v>562</v>
      </c>
      <c r="G42" s="99"/>
      <c r="H42" s="99"/>
      <c r="I42" s="99"/>
      <c r="J42" s="99"/>
      <c r="K42" s="99" t="s">
        <v>81</v>
      </c>
      <c r="L42" s="99"/>
      <c r="M42" s="99" t="s">
        <v>560</v>
      </c>
      <c r="N42" s="99"/>
      <c r="O42" s="99"/>
    </row>
    <row r="43" ht="18.0" customHeight="1">
      <c r="A43" s="93">
        <v>40.0</v>
      </c>
      <c r="B43" s="93">
        <v>2.0</v>
      </c>
      <c r="C43" s="93" t="s">
        <v>568</v>
      </c>
      <c r="D43" s="93"/>
      <c r="E43" s="93" t="s">
        <v>55</v>
      </c>
      <c r="F43" s="93" t="s">
        <v>559</v>
      </c>
      <c r="G43" s="93"/>
      <c r="H43" s="93"/>
      <c r="I43" s="93"/>
      <c r="J43" s="93"/>
      <c r="K43" s="93" t="s">
        <v>81</v>
      </c>
      <c r="L43" s="93"/>
      <c r="M43" s="93" t="s">
        <v>560</v>
      </c>
      <c r="N43" s="93"/>
      <c r="O43" s="93"/>
    </row>
    <row r="44" ht="18.0" customHeight="1">
      <c r="A44" s="99">
        <v>41.0</v>
      </c>
      <c r="B44" s="99">
        <v>2.0</v>
      </c>
      <c r="C44" s="99" t="s">
        <v>568</v>
      </c>
      <c r="D44" s="99"/>
      <c r="E44" s="99" t="s">
        <v>55</v>
      </c>
      <c r="F44" s="99" t="s">
        <v>561</v>
      </c>
      <c r="G44" s="99"/>
      <c r="H44" s="99"/>
      <c r="I44" s="99"/>
      <c r="J44" s="99"/>
      <c r="K44" s="99" t="s">
        <v>81</v>
      </c>
      <c r="L44" s="99"/>
      <c r="M44" s="99" t="s">
        <v>560</v>
      </c>
      <c r="N44" s="99"/>
      <c r="O44" s="99"/>
    </row>
    <row r="45" ht="18.0" customHeight="1">
      <c r="A45" s="93">
        <v>42.0</v>
      </c>
      <c r="B45" s="93">
        <v>2.0</v>
      </c>
      <c r="C45" s="93" t="s">
        <v>568</v>
      </c>
      <c r="D45" s="93"/>
      <c r="E45" s="93" t="s">
        <v>55</v>
      </c>
      <c r="F45" s="93" t="s">
        <v>562</v>
      </c>
      <c r="G45" s="93"/>
      <c r="H45" s="93"/>
      <c r="I45" s="93"/>
      <c r="J45" s="93"/>
      <c r="K45" s="93" t="s">
        <v>81</v>
      </c>
      <c r="L45" s="93"/>
      <c r="M45" s="93" t="s">
        <v>560</v>
      </c>
      <c r="N45" s="93"/>
      <c r="O45" s="93"/>
    </row>
    <row r="46" ht="18.0" customHeight="1">
      <c r="A46" s="99">
        <v>43.0</v>
      </c>
      <c r="B46" s="99">
        <v>3.0</v>
      </c>
      <c r="C46" s="99" t="s">
        <v>558</v>
      </c>
      <c r="D46" s="99"/>
      <c r="E46" s="99" t="s">
        <v>55</v>
      </c>
      <c r="F46" s="99" t="s">
        <v>559</v>
      </c>
      <c r="G46" s="99"/>
      <c r="H46" s="99"/>
      <c r="I46" s="99"/>
      <c r="J46" s="99"/>
      <c r="K46" s="99" t="s">
        <v>81</v>
      </c>
      <c r="L46" s="99"/>
      <c r="M46" s="99" t="s">
        <v>560</v>
      </c>
      <c r="N46" s="99"/>
      <c r="O46" s="99"/>
    </row>
    <row r="47" ht="18.0" customHeight="1">
      <c r="A47" s="93">
        <v>44.0</v>
      </c>
      <c r="B47" s="93">
        <v>3.0</v>
      </c>
      <c r="C47" s="93" t="s">
        <v>558</v>
      </c>
      <c r="D47" s="93"/>
      <c r="E47" s="93" t="s">
        <v>55</v>
      </c>
      <c r="F47" s="93" t="s">
        <v>561</v>
      </c>
      <c r="G47" s="93"/>
      <c r="H47" s="93"/>
      <c r="I47" s="93"/>
      <c r="J47" s="93"/>
      <c r="K47" s="93" t="s">
        <v>81</v>
      </c>
      <c r="L47" s="93"/>
      <c r="M47" s="93" t="s">
        <v>560</v>
      </c>
      <c r="N47" s="93"/>
      <c r="O47" s="93"/>
    </row>
    <row r="48" ht="18.0" customHeight="1">
      <c r="A48" s="99">
        <v>45.0</v>
      </c>
      <c r="B48" s="99">
        <v>3.0</v>
      </c>
      <c r="C48" s="99" t="s">
        <v>558</v>
      </c>
      <c r="D48" s="99"/>
      <c r="E48" s="99" t="s">
        <v>55</v>
      </c>
      <c r="F48" s="99" t="s">
        <v>562</v>
      </c>
      <c r="G48" s="99"/>
      <c r="H48" s="99"/>
      <c r="I48" s="99"/>
      <c r="J48" s="99"/>
      <c r="K48" s="99" t="s">
        <v>81</v>
      </c>
      <c r="L48" s="99"/>
      <c r="M48" s="99" t="s">
        <v>560</v>
      </c>
      <c r="N48" s="99"/>
      <c r="O48" s="99"/>
    </row>
    <row r="49" ht="18.0" customHeight="1">
      <c r="A49" s="93">
        <v>46.0</v>
      </c>
      <c r="B49" s="93">
        <v>3.0</v>
      </c>
      <c r="C49" s="93" t="s">
        <v>563</v>
      </c>
      <c r="D49" s="93"/>
      <c r="E49" s="93" t="s">
        <v>55</v>
      </c>
      <c r="F49" s="93" t="s">
        <v>559</v>
      </c>
      <c r="G49" s="93"/>
      <c r="H49" s="93"/>
      <c r="I49" s="93"/>
      <c r="J49" s="93"/>
      <c r="K49" s="93" t="s">
        <v>81</v>
      </c>
      <c r="L49" s="93"/>
      <c r="M49" s="93" t="s">
        <v>560</v>
      </c>
      <c r="N49" s="93"/>
      <c r="O49" s="93"/>
    </row>
    <row r="50" ht="18.0" customHeight="1">
      <c r="A50" s="99">
        <v>47.0</v>
      </c>
      <c r="B50" s="99">
        <v>3.0</v>
      </c>
      <c r="C50" s="99" t="s">
        <v>563</v>
      </c>
      <c r="D50" s="99"/>
      <c r="E50" s="99" t="s">
        <v>55</v>
      </c>
      <c r="F50" s="99" t="s">
        <v>561</v>
      </c>
      <c r="G50" s="99"/>
      <c r="H50" s="99"/>
      <c r="I50" s="99"/>
      <c r="J50" s="99"/>
      <c r="K50" s="99" t="s">
        <v>81</v>
      </c>
      <c r="L50" s="99"/>
      <c r="M50" s="99" t="s">
        <v>560</v>
      </c>
      <c r="N50" s="99"/>
      <c r="O50" s="99"/>
    </row>
    <row r="51" ht="18.0" customHeight="1">
      <c r="A51" s="93">
        <v>48.0</v>
      </c>
      <c r="B51" s="93">
        <v>3.0</v>
      </c>
      <c r="C51" s="93" t="s">
        <v>563</v>
      </c>
      <c r="D51" s="93"/>
      <c r="E51" s="93" t="s">
        <v>55</v>
      </c>
      <c r="F51" s="93" t="s">
        <v>562</v>
      </c>
      <c r="G51" s="93"/>
      <c r="H51" s="93"/>
      <c r="I51" s="93"/>
      <c r="J51" s="93"/>
      <c r="K51" s="93" t="s">
        <v>81</v>
      </c>
      <c r="L51" s="93"/>
      <c r="M51" s="93" t="s">
        <v>560</v>
      </c>
      <c r="N51" s="93"/>
      <c r="O51" s="93"/>
    </row>
    <row r="52" ht="18.0" customHeight="1">
      <c r="A52" s="99">
        <v>49.0</v>
      </c>
      <c r="B52" s="99">
        <v>3.0</v>
      </c>
      <c r="C52" s="99" t="s">
        <v>564</v>
      </c>
      <c r="D52" s="99"/>
      <c r="E52" s="99" t="s">
        <v>55</v>
      </c>
      <c r="F52" s="99" t="s">
        <v>559</v>
      </c>
      <c r="G52" s="99"/>
      <c r="H52" s="99"/>
      <c r="I52" s="99"/>
      <c r="J52" s="99"/>
      <c r="K52" s="99" t="s">
        <v>81</v>
      </c>
      <c r="L52" s="99"/>
      <c r="M52" s="99" t="s">
        <v>560</v>
      </c>
      <c r="N52" s="99"/>
      <c r="O52" s="99"/>
    </row>
    <row r="53" ht="18.0" customHeight="1">
      <c r="A53" s="93">
        <v>50.0</v>
      </c>
      <c r="B53" s="93">
        <v>3.0</v>
      </c>
      <c r="C53" s="93" t="s">
        <v>564</v>
      </c>
      <c r="D53" s="93"/>
      <c r="E53" s="93" t="s">
        <v>55</v>
      </c>
      <c r="F53" s="93" t="s">
        <v>561</v>
      </c>
      <c r="G53" s="93"/>
      <c r="H53" s="93"/>
      <c r="I53" s="93"/>
      <c r="J53" s="93"/>
      <c r="K53" s="93" t="s">
        <v>81</v>
      </c>
      <c r="L53" s="93"/>
      <c r="M53" s="93" t="s">
        <v>560</v>
      </c>
      <c r="N53" s="93"/>
      <c r="O53" s="93"/>
    </row>
    <row r="54" ht="18.0" customHeight="1">
      <c r="A54" s="99">
        <v>51.0</v>
      </c>
      <c r="B54" s="99">
        <v>3.0</v>
      </c>
      <c r="C54" s="99" t="s">
        <v>564</v>
      </c>
      <c r="D54" s="99"/>
      <c r="E54" s="99" t="s">
        <v>55</v>
      </c>
      <c r="F54" s="99" t="s">
        <v>562</v>
      </c>
      <c r="G54" s="99"/>
      <c r="H54" s="99"/>
      <c r="I54" s="99"/>
      <c r="J54" s="99"/>
      <c r="K54" s="99" t="s">
        <v>81</v>
      </c>
      <c r="L54" s="99"/>
      <c r="M54" s="99" t="s">
        <v>560</v>
      </c>
      <c r="N54" s="99"/>
      <c r="O54" s="99"/>
    </row>
    <row r="55" ht="18.0" customHeight="1">
      <c r="A55" s="93">
        <v>52.0</v>
      </c>
      <c r="B55" s="93">
        <v>3.0</v>
      </c>
      <c r="C55" s="93" t="s">
        <v>565</v>
      </c>
      <c r="D55" s="93"/>
      <c r="E55" s="93" t="s">
        <v>55</v>
      </c>
      <c r="F55" s="93" t="s">
        <v>559</v>
      </c>
      <c r="G55" s="93"/>
      <c r="H55" s="93"/>
      <c r="I55" s="93"/>
      <c r="J55" s="93"/>
      <c r="K55" s="93" t="s">
        <v>81</v>
      </c>
      <c r="L55" s="93"/>
      <c r="M55" s="93" t="s">
        <v>560</v>
      </c>
      <c r="N55" s="93"/>
      <c r="O55" s="93"/>
    </row>
    <row r="56" ht="18.0" customHeight="1">
      <c r="A56" s="99">
        <v>53.0</v>
      </c>
      <c r="B56" s="99">
        <v>3.0</v>
      </c>
      <c r="C56" s="99" t="s">
        <v>565</v>
      </c>
      <c r="D56" s="99"/>
      <c r="E56" s="99" t="s">
        <v>55</v>
      </c>
      <c r="F56" s="99" t="s">
        <v>561</v>
      </c>
      <c r="G56" s="99"/>
      <c r="H56" s="99"/>
      <c r="I56" s="99"/>
      <c r="J56" s="99"/>
      <c r="K56" s="99" t="s">
        <v>81</v>
      </c>
      <c r="L56" s="99"/>
      <c r="M56" s="99" t="s">
        <v>560</v>
      </c>
      <c r="N56" s="99"/>
      <c r="O56" s="99"/>
    </row>
    <row r="57" ht="18.0" customHeight="1">
      <c r="A57" s="93">
        <v>54.0</v>
      </c>
      <c r="B57" s="93">
        <v>3.0</v>
      </c>
      <c r="C57" s="93" t="s">
        <v>565</v>
      </c>
      <c r="D57" s="93"/>
      <c r="E57" s="93" t="s">
        <v>55</v>
      </c>
      <c r="F57" s="93" t="s">
        <v>562</v>
      </c>
      <c r="G57" s="93"/>
      <c r="H57" s="93"/>
      <c r="I57" s="93"/>
      <c r="J57" s="93"/>
      <c r="K57" s="93" t="s">
        <v>81</v>
      </c>
      <c r="L57" s="93"/>
      <c r="M57" s="93" t="s">
        <v>560</v>
      </c>
      <c r="N57" s="93"/>
      <c r="O57" s="93"/>
    </row>
    <row r="58" ht="18.0" customHeight="1">
      <c r="A58" s="99">
        <v>55.0</v>
      </c>
      <c r="B58" s="99">
        <v>3.0</v>
      </c>
      <c r="C58" s="99" t="s">
        <v>566</v>
      </c>
      <c r="D58" s="99"/>
      <c r="E58" s="99" t="s">
        <v>55</v>
      </c>
      <c r="F58" s="99" t="s">
        <v>559</v>
      </c>
      <c r="G58" s="99"/>
      <c r="H58" s="99"/>
      <c r="I58" s="99"/>
      <c r="J58" s="99"/>
      <c r="K58" s="99" t="s">
        <v>81</v>
      </c>
      <c r="L58" s="99"/>
      <c r="M58" s="99" t="s">
        <v>560</v>
      </c>
      <c r="N58" s="99"/>
      <c r="O58" s="99"/>
    </row>
    <row r="59" ht="18.0" customHeight="1">
      <c r="A59" s="93">
        <v>56.0</v>
      </c>
      <c r="B59" s="93">
        <v>3.0</v>
      </c>
      <c r="C59" s="93" t="s">
        <v>566</v>
      </c>
      <c r="D59" s="93"/>
      <c r="E59" s="93" t="s">
        <v>55</v>
      </c>
      <c r="F59" s="93" t="s">
        <v>561</v>
      </c>
      <c r="G59" s="93"/>
      <c r="H59" s="93"/>
      <c r="I59" s="93"/>
      <c r="J59" s="93"/>
      <c r="K59" s="93" t="s">
        <v>81</v>
      </c>
      <c r="L59" s="93"/>
      <c r="M59" s="93" t="s">
        <v>560</v>
      </c>
      <c r="N59" s="93"/>
      <c r="O59" s="93"/>
    </row>
    <row r="60" ht="18.0" customHeight="1">
      <c r="A60" s="99">
        <v>57.0</v>
      </c>
      <c r="B60" s="99">
        <v>3.0</v>
      </c>
      <c r="C60" s="99" t="s">
        <v>566</v>
      </c>
      <c r="D60" s="99"/>
      <c r="E60" s="99" t="s">
        <v>55</v>
      </c>
      <c r="F60" s="99" t="s">
        <v>562</v>
      </c>
      <c r="G60" s="99"/>
      <c r="H60" s="99"/>
      <c r="I60" s="99"/>
      <c r="J60" s="99"/>
      <c r="K60" s="99" t="s">
        <v>81</v>
      </c>
      <c r="L60" s="99"/>
      <c r="M60" s="99" t="s">
        <v>560</v>
      </c>
      <c r="N60" s="99"/>
      <c r="O60" s="99"/>
    </row>
    <row r="61" ht="18.0" customHeight="1">
      <c r="A61" s="93">
        <v>58.0</v>
      </c>
      <c r="B61" s="93">
        <v>3.0</v>
      </c>
      <c r="C61" s="93" t="s">
        <v>567</v>
      </c>
      <c r="D61" s="93"/>
      <c r="E61" s="93" t="s">
        <v>55</v>
      </c>
      <c r="F61" s="93" t="s">
        <v>559</v>
      </c>
      <c r="G61" s="93"/>
      <c r="H61" s="93"/>
      <c r="I61" s="93"/>
      <c r="J61" s="93"/>
      <c r="K61" s="93" t="s">
        <v>81</v>
      </c>
      <c r="L61" s="93"/>
      <c r="M61" s="93" t="s">
        <v>560</v>
      </c>
      <c r="N61" s="93"/>
      <c r="O61" s="93"/>
    </row>
    <row r="62" ht="18.0" customHeight="1">
      <c r="A62" s="99">
        <v>59.0</v>
      </c>
      <c r="B62" s="99">
        <v>3.0</v>
      </c>
      <c r="C62" s="99" t="s">
        <v>567</v>
      </c>
      <c r="D62" s="99"/>
      <c r="E62" s="99" t="s">
        <v>55</v>
      </c>
      <c r="F62" s="99" t="s">
        <v>561</v>
      </c>
      <c r="G62" s="99"/>
      <c r="H62" s="99"/>
      <c r="I62" s="99"/>
      <c r="J62" s="99"/>
      <c r="K62" s="99" t="s">
        <v>81</v>
      </c>
      <c r="L62" s="99"/>
      <c r="M62" s="99" t="s">
        <v>560</v>
      </c>
      <c r="N62" s="99"/>
      <c r="O62" s="99"/>
    </row>
    <row r="63" ht="18.0" customHeight="1">
      <c r="A63" s="93">
        <v>60.0</v>
      </c>
      <c r="B63" s="93">
        <v>3.0</v>
      </c>
      <c r="C63" s="93" t="s">
        <v>567</v>
      </c>
      <c r="D63" s="93"/>
      <c r="E63" s="93" t="s">
        <v>55</v>
      </c>
      <c r="F63" s="93" t="s">
        <v>562</v>
      </c>
      <c r="G63" s="93"/>
      <c r="H63" s="93"/>
      <c r="I63" s="93"/>
      <c r="J63" s="93"/>
      <c r="K63" s="93" t="s">
        <v>81</v>
      </c>
      <c r="L63" s="93"/>
      <c r="M63" s="93" t="s">
        <v>560</v>
      </c>
      <c r="N63" s="93"/>
      <c r="O63" s="93"/>
    </row>
    <row r="64" ht="18.0" customHeight="1">
      <c r="A64" s="99">
        <v>61.0</v>
      </c>
      <c r="B64" s="99">
        <v>3.0</v>
      </c>
      <c r="C64" s="99" t="s">
        <v>568</v>
      </c>
      <c r="D64" s="99"/>
      <c r="E64" s="99" t="s">
        <v>55</v>
      </c>
      <c r="F64" s="99" t="s">
        <v>559</v>
      </c>
      <c r="G64" s="99"/>
      <c r="H64" s="99"/>
      <c r="I64" s="99"/>
      <c r="J64" s="99"/>
      <c r="K64" s="99" t="s">
        <v>81</v>
      </c>
      <c r="L64" s="99"/>
      <c r="M64" s="99" t="s">
        <v>560</v>
      </c>
      <c r="N64" s="99"/>
      <c r="O64" s="99"/>
    </row>
    <row r="65" ht="18.0" customHeight="1">
      <c r="A65" s="93">
        <v>62.0</v>
      </c>
      <c r="B65" s="93">
        <v>3.0</v>
      </c>
      <c r="C65" s="93" t="s">
        <v>568</v>
      </c>
      <c r="D65" s="93"/>
      <c r="E65" s="93" t="s">
        <v>55</v>
      </c>
      <c r="F65" s="93" t="s">
        <v>561</v>
      </c>
      <c r="G65" s="93"/>
      <c r="H65" s="93"/>
      <c r="I65" s="93"/>
      <c r="J65" s="93"/>
      <c r="K65" s="93" t="s">
        <v>81</v>
      </c>
      <c r="L65" s="93"/>
      <c r="M65" s="93" t="s">
        <v>560</v>
      </c>
      <c r="N65" s="93"/>
      <c r="O65" s="93"/>
    </row>
    <row r="66" ht="18.0" customHeight="1">
      <c r="A66" s="99">
        <v>63.0</v>
      </c>
      <c r="B66" s="99">
        <v>3.0</v>
      </c>
      <c r="C66" s="99" t="s">
        <v>568</v>
      </c>
      <c r="D66" s="99"/>
      <c r="E66" s="99" t="s">
        <v>55</v>
      </c>
      <c r="F66" s="99" t="s">
        <v>562</v>
      </c>
      <c r="G66" s="99"/>
      <c r="H66" s="99"/>
      <c r="I66" s="99"/>
      <c r="J66" s="99"/>
      <c r="K66" s="99" t="s">
        <v>81</v>
      </c>
      <c r="L66" s="99"/>
      <c r="M66" s="99" t="s">
        <v>560</v>
      </c>
      <c r="N66" s="99"/>
      <c r="O66" s="99"/>
    </row>
    <row r="67" ht="18.0" customHeight="1">
      <c r="A67" s="93">
        <v>64.0</v>
      </c>
      <c r="B67" s="93">
        <v>4.0</v>
      </c>
      <c r="C67" s="93" t="s">
        <v>558</v>
      </c>
      <c r="D67" s="93"/>
      <c r="E67" s="93" t="s">
        <v>55</v>
      </c>
      <c r="F67" s="93" t="s">
        <v>559</v>
      </c>
      <c r="G67" s="93"/>
      <c r="H67" s="93"/>
      <c r="I67" s="93"/>
      <c r="J67" s="93"/>
      <c r="K67" s="93" t="s">
        <v>81</v>
      </c>
      <c r="L67" s="93"/>
      <c r="M67" s="93" t="s">
        <v>560</v>
      </c>
      <c r="N67" s="93"/>
      <c r="O67" s="93"/>
    </row>
    <row r="68" ht="18.0" customHeight="1">
      <c r="A68" s="99">
        <v>65.0</v>
      </c>
      <c r="B68" s="99">
        <v>4.0</v>
      </c>
      <c r="C68" s="99" t="s">
        <v>558</v>
      </c>
      <c r="D68" s="99"/>
      <c r="E68" s="99" t="s">
        <v>55</v>
      </c>
      <c r="F68" s="99" t="s">
        <v>561</v>
      </c>
      <c r="G68" s="99"/>
      <c r="H68" s="99"/>
      <c r="I68" s="99"/>
      <c r="J68" s="99"/>
      <c r="K68" s="99" t="s">
        <v>81</v>
      </c>
      <c r="L68" s="99"/>
      <c r="M68" s="99" t="s">
        <v>560</v>
      </c>
      <c r="N68" s="99"/>
      <c r="O68" s="99"/>
    </row>
    <row r="69" ht="18.0" customHeight="1">
      <c r="A69" s="93">
        <v>66.0</v>
      </c>
      <c r="B69" s="93">
        <v>4.0</v>
      </c>
      <c r="C69" s="93" t="s">
        <v>558</v>
      </c>
      <c r="D69" s="93"/>
      <c r="E69" s="93" t="s">
        <v>55</v>
      </c>
      <c r="F69" s="93" t="s">
        <v>562</v>
      </c>
      <c r="G69" s="93"/>
      <c r="H69" s="93"/>
      <c r="I69" s="93"/>
      <c r="J69" s="93"/>
      <c r="K69" s="93" t="s">
        <v>81</v>
      </c>
      <c r="L69" s="93"/>
      <c r="M69" s="93" t="s">
        <v>560</v>
      </c>
      <c r="N69" s="93"/>
      <c r="O69" s="93"/>
    </row>
    <row r="70" ht="18.0" customHeight="1">
      <c r="A70" s="99">
        <v>67.0</v>
      </c>
      <c r="B70" s="99">
        <v>4.0</v>
      </c>
      <c r="C70" s="99" t="s">
        <v>563</v>
      </c>
      <c r="D70" s="99"/>
      <c r="E70" s="99" t="s">
        <v>55</v>
      </c>
      <c r="F70" s="99" t="s">
        <v>559</v>
      </c>
      <c r="G70" s="99"/>
      <c r="H70" s="99"/>
      <c r="I70" s="99"/>
      <c r="J70" s="99"/>
      <c r="K70" s="99" t="s">
        <v>81</v>
      </c>
      <c r="L70" s="99"/>
      <c r="M70" s="99" t="s">
        <v>560</v>
      </c>
      <c r="N70" s="99"/>
      <c r="O70" s="99"/>
    </row>
    <row r="71" ht="18.0" customHeight="1">
      <c r="A71" s="93">
        <v>68.0</v>
      </c>
      <c r="B71" s="93">
        <v>4.0</v>
      </c>
      <c r="C71" s="93" t="s">
        <v>563</v>
      </c>
      <c r="D71" s="93"/>
      <c r="E71" s="93" t="s">
        <v>55</v>
      </c>
      <c r="F71" s="93" t="s">
        <v>561</v>
      </c>
      <c r="G71" s="93"/>
      <c r="H71" s="93"/>
      <c r="I71" s="93"/>
      <c r="J71" s="93"/>
      <c r="K71" s="93" t="s">
        <v>81</v>
      </c>
      <c r="L71" s="93"/>
      <c r="M71" s="93" t="s">
        <v>560</v>
      </c>
      <c r="N71" s="93"/>
      <c r="O71" s="93"/>
    </row>
    <row r="72" ht="18.0" customHeight="1">
      <c r="A72" s="99">
        <v>69.0</v>
      </c>
      <c r="B72" s="99">
        <v>4.0</v>
      </c>
      <c r="C72" s="99" t="s">
        <v>563</v>
      </c>
      <c r="D72" s="99"/>
      <c r="E72" s="99" t="s">
        <v>55</v>
      </c>
      <c r="F72" s="99" t="s">
        <v>562</v>
      </c>
      <c r="G72" s="99"/>
      <c r="H72" s="99"/>
      <c r="I72" s="99"/>
      <c r="J72" s="99"/>
      <c r="K72" s="99" t="s">
        <v>81</v>
      </c>
      <c r="L72" s="99"/>
      <c r="M72" s="99" t="s">
        <v>560</v>
      </c>
      <c r="N72" s="99"/>
      <c r="O72" s="99"/>
    </row>
    <row r="73" ht="18.0" customHeight="1">
      <c r="A73" s="93">
        <v>70.0</v>
      </c>
      <c r="B73" s="93">
        <v>4.0</v>
      </c>
      <c r="C73" s="93" t="s">
        <v>564</v>
      </c>
      <c r="D73" s="93"/>
      <c r="E73" s="93" t="s">
        <v>55</v>
      </c>
      <c r="F73" s="93" t="s">
        <v>559</v>
      </c>
      <c r="G73" s="93"/>
      <c r="H73" s="93"/>
      <c r="I73" s="93"/>
      <c r="J73" s="93"/>
      <c r="K73" s="93" t="s">
        <v>81</v>
      </c>
      <c r="L73" s="93"/>
      <c r="M73" s="93" t="s">
        <v>560</v>
      </c>
      <c r="N73" s="93"/>
      <c r="O73" s="93"/>
    </row>
    <row r="74" ht="18.0" customHeight="1">
      <c r="A74" s="99">
        <v>71.0</v>
      </c>
      <c r="B74" s="99">
        <v>4.0</v>
      </c>
      <c r="C74" s="99" t="s">
        <v>564</v>
      </c>
      <c r="D74" s="99"/>
      <c r="E74" s="99" t="s">
        <v>55</v>
      </c>
      <c r="F74" s="99" t="s">
        <v>561</v>
      </c>
      <c r="G74" s="99"/>
      <c r="H74" s="99"/>
      <c r="I74" s="99"/>
      <c r="J74" s="99"/>
      <c r="K74" s="99" t="s">
        <v>81</v>
      </c>
      <c r="L74" s="99"/>
      <c r="M74" s="99" t="s">
        <v>560</v>
      </c>
      <c r="N74" s="99"/>
      <c r="O74" s="99"/>
    </row>
    <row r="75" ht="18.0" customHeight="1">
      <c r="A75" s="93">
        <v>72.0</v>
      </c>
      <c r="B75" s="93">
        <v>4.0</v>
      </c>
      <c r="C75" s="93" t="s">
        <v>564</v>
      </c>
      <c r="D75" s="93"/>
      <c r="E75" s="93" t="s">
        <v>55</v>
      </c>
      <c r="F75" s="93" t="s">
        <v>562</v>
      </c>
      <c r="G75" s="93"/>
      <c r="H75" s="93"/>
      <c r="I75" s="93"/>
      <c r="J75" s="93"/>
      <c r="K75" s="93" t="s">
        <v>81</v>
      </c>
      <c r="L75" s="93"/>
      <c r="M75" s="93" t="s">
        <v>560</v>
      </c>
      <c r="N75" s="93"/>
      <c r="O75" s="93"/>
    </row>
    <row r="76" ht="18.0" customHeight="1">
      <c r="A76" s="99">
        <v>73.0</v>
      </c>
      <c r="B76" s="99">
        <v>4.0</v>
      </c>
      <c r="C76" s="99" t="s">
        <v>565</v>
      </c>
      <c r="D76" s="99"/>
      <c r="E76" s="99" t="s">
        <v>55</v>
      </c>
      <c r="F76" s="99" t="s">
        <v>559</v>
      </c>
      <c r="G76" s="99"/>
      <c r="H76" s="99"/>
      <c r="I76" s="99"/>
      <c r="J76" s="99"/>
      <c r="K76" s="99" t="s">
        <v>81</v>
      </c>
      <c r="L76" s="99"/>
      <c r="M76" s="99" t="s">
        <v>560</v>
      </c>
      <c r="N76" s="99"/>
      <c r="O76" s="99"/>
    </row>
    <row r="77" ht="18.0" customHeight="1">
      <c r="A77" s="93">
        <v>74.0</v>
      </c>
      <c r="B77" s="93">
        <v>4.0</v>
      </c>
      <c r="C77" s="93" t="s">
        <v>565</v>
      </c>
      <c r="D77" s="93"/>
      <c r="E77" s="93" t="s">
        <v>55</v>
      </c>
      <c r="F77" s="93" t="s">
        <v>561</v>
      </c>
      <c r="G77" s="93"/>
      <c r="H77" s="93"/>
      <c r="I77" s="93"/>
      <c r="J77" s="93"/>
      <c r="K77" s="93" t="s">
        <v>81</v>
      </c>
      <c r="L77" s="93"/>
      <c r="M77" s="93" t="s">
        <v>560</v>
      </c>
      <c r="N77" s="93"/>
      <c r="O77" s="93"/>
    </row>
    <row r="78" ht="18.0" customHeight="1">
      <c r="A78" s="99">
        <v>75.0</v>
      </c>
      <c r="B78" s="99">
        <v>4.0</v>
      </c>
      <c r="C78" s="99" t="s">
        <v>565</v>
      </c>
      <c r="D78" s="99"/>
      <c r="E78" s="99" t="s">
        <v>55</v>
      </c>
      <c r="F78" s="99" t="s">
        <v>562</v>
      </c>
      <c r="G78" s="99"/>
      <c r="H78" s="99"/>
      <c r="I78" s="99"/>
      <c r="J78" s="99"/>
      <c r="K78" s="99" t="s">
        <v>81</v>
      </c>
      <c r="L78" s="99"/>
      <c r="M78" s="99" t="s">
        <v>560</v>
      </c>
      <c r="N78" s="99"/>
      <c r="O78" s="99"/>
    </row>
    <row r="79" ht="18.0" customHeight="1">
      <c r="A79" s="93">
        <v>76.0</v>
      </c>
      <c r="B79" s="93">
        <v>4.0</v>
      </c>
      <c r="C79" s="93" t="s">
        <v>566</v>
      </c>
      <c r="D79" s="93"/>
      <c r="E79" s="93" t="s">
        <v>55</v>
      </c>
      <c r="F79" s="93" t="s">
        <v>559</v>
      </c>
      <c r="G79" s="93"/>
      <c r="H79" s="93"/>
      <c r="I79" s="93"/>
      <c r="J79" s="93"/>
      <c r="K79" s="93" t="s">
        <v>81</v>
      </c>
      <c r="L79" s="93"/>
      <c r="M79" s="93" t="s">
        <v>560</v>
      </c>
      <c r="N79" s="93"/>
      <c r="O79" s="93"/>
    </row>
    <row r="80" ht="18.0" customHeight="1">
      <c r="A80" s="99">
        <v>77.0</v>
      </c>
      <c r="B80" s="99">
        <v>4.0</v>
      </c>
      <c r="C80" s="99" t="s">
        <v>566</v>
      </c>
      <c r="D80" s="99"/>
      <c r="E80" s="99" t="s">
        <v>55</v>
      </c>
      <c r="F80" s="99" t="s">
        <v>561</v>
      </c>
      <c r="G80" s="99"/>
      <c r="H80" s="99"/>
      <c r="I80" s="99"/>
      <c r="J80" s="99"/>
      <c r="K80" s="99" t="s">
        <v>81</v>
      </c>
      <c r="L80" s="99"/>
      <c r="M80" s="99" t="s">
        <v>560</v>
      </c>
      <c r="N80" s="99"/>
      <c r="O80" s="99"/>
    </row>
    <row r="81" ht="18.0" customHeight="1">
      <c r="A81" s="93">
        <v>78.0</v>
      </c>
      <c r="B81" s="93">
        <v>4.0</v>
      </c>
      <c r="C81" s="93" t="s">
        <v>566</v>
      </c>
      <c r="D81" s="93"/>
      <c r="E81" s="93" t="s">
        <v>55</v>
      </c>
      <c r="F81" s="93" t="s">
        <v>562</v>
      </c>
      <c r="G81" s="93"/>
      <c r="H81" s="93"/>
      <c r="I81" s="93"/>
      <c r="J81" s="93"/>
      <c r="K81" s="93" t="s">
        <v>81</v>
      </c>
      <c r="L81" s="93"/>
      <c r="M81" s="93" t="s">
        <v>560</v>
      </c>
      <c r="N81" s="93"/>
      <c r="O81" s="93"/>
    </row>
    <row r="82" ht="18.0" customHeight="1">
      <c r="A82" s="99">
        <v>79.0</v>
      </c>
      <c r="B82" s="99">
        <v>4.0</v>
      </c>
      <c r="C82" s="99" t="s">
        <v>567</v>
      </c>
      <c r="D82" s="99"/>
      <c r="E82" s="99" t="s">
        <v>55</v>
      </c>
      <c r="F82" s="99" t="s">
        <v>559</v>
      </c>
      <c r="G82" s="99"/>
      <c r="H82" s="99"/>
      <c r="I82" s="99"/>
      <c r="J82" s="99"/>
      <c r="K82" s="99" t="s">
        <v>81</v>
      </c>
      <c r="L82" s="99"/>
      <c r="M82" s="99" t="s">
        <v>560</v>
      </c>
      <c r="N82" s="99"/>
      <c r="O82" s="99"/>
    </row>
    <row r="83" ht="18.0" customHeight="1">
      <c r="A83" s="93">
        <v>80.0</v>
      </c>
      <c r="B83" s="93">
        <v>4.0</v>
      </c>
      <c r="C83" s="93" t="s">
        <v>567</v>
      </c>
      <c r="D83" s="93"/>
      <c r="E83" s="93" t="s">
        <v>55</v>
      </c>
      <c r="F83" s="93" t="s">
        <v>561</v>
      </c>
      <c r="G83" s="93"/>
      <c r="H83" s="93"/>
      <c r="I83" s="93"/>
      <c r="J83" s="93"/>
      <c r="K83" s="93" t="s">
        <v>81</v>
      </c>
      <c r="L83" s="93"/>
      <c r="M83" s="93" t="s">
        <v>560</v>
      </c>
      <c r="N83" s="93"/>
      <c r="O83" s="93"/>
    </row>
    <row r="84" ht="18.0" customHeight="1">
      <c r="A84" s="99">
        <v>81.0</v>
      </c>
      <c r="B84" s="99">
        <v>4.0</v>
      </c>
      <c r="C84" s="99" t="s">
        <v>567</v>
      </c>
      <c r="D84" s="99"/>
      <c r="E84" s="99" t="s">
        <v>55</v>
      </c>
      <c r="F84" s="99" t="s">
        <v>562</v>
      </c>
      <c r="G84" s="99"/>
      <c r="H84" s="99"/>
      <c r="I84" s="99"/>
      <c r="J84" s="99"/>
      <c r="K84" s="99" t="s">
        <v>81</v>
      </c>
      <c r="L84" s="99"/>
      <c r="M84" s="99" t="s">
        <v>560</v>
      </c>
      <c r="N84" s="99"/>
      <c r="O84" s="99"/>
    </row>
    <row r="85" ht="18.0" customHeight="1">
      <c r="A85" s="93">
        <v>82.0</v>
      </c>
      <c r="B85" s="93">
        <v>4.0</v>
      </c>
      <c r="C85" s="93" t="s">
        <v>568</v>
      </c>
      <c r="D85" s="93"/>
      <c r="E85" s="93" t="s">
        <v>55</v>
      </c>
      <c r="F85" s="93" t="s">
        <v>559</v>
      </c>
      <c r="G85" s="93"/>
      <c r="H85" s="93"/>
      <c r="I85" s="93"/>
      <c r="J85" s="93"/>
      <c r="K85" s="93" t="s">
        <v>81</v>
      </c>
      <c r="L85" s="93"/>
      <c r="M85" s="93" t="s">
        <v>560</v>
      </c>
      <c r="N85" s="93"/>
      <c r="O85" s="93"/>
    </row>
    <row r="86" ht="18.0" customHeight="1">
      <c r="A86" s="99">
        <v>83.0</v>
      </c>
      <c r="B86" s="99">
        <v>4.0</v>
      </c>
      <c r="C86" s="99" t="s">
        <v>568</v>
      </c>
      <c r="D86" s="99"/>
      <c r="E86" s="99" t="s">
        <v>55</v>
      </c>
      <c r="F86" s="99" t="s">
        <v>561</v>
      </c>
      <c r="G86" s="99"/>
      <c r="H86" s="99"/>
      <c r="I86" s="99"/>
      <c r="J86" s="99"/>
      <c r="K86" s="99" t="s">
        <v>81</v>
      </c>
      <c r="L86" s="99"/>
      <c r="M86" s="99" t="s">
        <v>560</v>
      </c>
      <c r="N86" s="99"/>
      <c r="O86" s="99"/>
    </row>
    <row r="87" ht="18.0" customHeight="1">
      <c r="A87" s="93">
        <v>84.0</v>
      </c>
      <c r="B87" s="93">
        <v>4.0</v>
      </c>
      <c r="C87" s="93" t="s">
        <v>568</v>
      </c>
      <c r="D87" s="93"/>
      <c r="E87" s="93" t="s">
        <v>55</v>
      </c>
      <c r="F87" s="93" t="s">
        <v>562</v>
      </c>
      <c r="G87" s="93"/>
      <c r="H87" s="93"/>
      <c r="I87" s="93"/>
      <c r="J87" s="93"/>
      <c r="K87" s="93" t="s">
        <v>81</v>
      </c>
      <c r="L87" s="93"/>
      <c r="M87" s="93" t="s">
        <v>560</v>
      </c>
      <c r="N87" s="93"/>
      <c r="O87" s="9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4" width="12.0"/>
    <col customWidth="1" min="5" max="5" width="20.0"/>
    <col customWidth="1" min="6" max="6" width="12.0"/>
    <col customWidth="1" min="7" max="8" width="16.0"/>
    <col customWidth="1" min="9" max="9" width="14.0"/>
    <col customWidth="1" min="10" max="10" width="12.0"/>
    <col customWidth="1" min="11" max="11" width="13.0"/>
    <col customWidth="1" min="12" max="13" width="14.0"/>
    <col customWidth="1" min="14" max="26" width="8.71"/>
  </cols>
  <sheetData>
    <row r="1" ht="39.75" customHeight="1">
      <c r="A1" s="25" t="s">
        <v>569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A2" s="26" t="s">
        <v>570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34.5" customHeight="1">
      <c r="A3" s="97" t="s">
        <v>571</v>
      </c>
      <c r="B3" s="2"/>
      <c r="C3" s="2"/>
      <c r="D3" s="3"/>
      <c r="E3" s="100">
        <v>800.0</v>
      </c>
      <c r="F3" s="97" t="s">
        <v>572</v>
      </c>
      <c r="G3" s="2"/>
      <c r="H3" s="3"/>
      <c r="I3" s="101">
        <f>SUM(F6:F200)</f>
        <v>0</v>
      </c>
      <c r="J3" s="97" t="s">
        <v>573</v>
      </c>
      <c r="K3" s="3"/>
      <c r="L3" s="102">
        <f>E3-I3</f>
        <v>800</v>
      </c>
    </row>
    <row r="4" ht="34.5" customHeight="1">
      <c r="A4" s="6" t="s">
        <v>36</v>
      </c>
      <c r="B4" s="6" t="s">
        <v>548</v>
      </c>
      <c r="C4" s="6" t="s">
        <v>574</v>
      </c>
      <c r="D4" s="6" t="s">
        <v>11</v>
      </c>
      <c r="E4" s="6" t="s">
        <v>575</v>
      </c>
      <c r="F4" s="6" t="s">
        <v>576</v>
      </c>
      <c r="G4" s="6" t="s">
        <v>577</v>
      </c>
      <c r="H4" s="6" t="s">
        <v>578</v>
      </c>
      <c r="I4" s="6" t="s">
        <v>579</v>
      </c>
      <c r="J4" s="6" t="s">
        <v>580</v>
      </c>
      <c r="K4" s="6" t="s">
        <v>514</v>
      </c>
      <c r="L4" s="6" t="s">
        <v>581</v>
      </c>
      <c r="M4" s="6" t="s">
        <v>582</v>
      </c>
    </row>
    <row r="5" ht="18.0" customHeight="1">
      <c r="A5" s="93">
        <v>1.0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 t="str">
        <f t="shared" ref="L5:L104" si="1">IF(AND(F5&gt;0,K5&gt;0),F5/K5,"")</f>
        <v/>
      </c>
      <c r="M5" s="93"/>
    </row>
    <row r="6" ht="18.0" customHeight="1">
      <c r="A6" s="99">
        <v>2.0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 t="str">
        <f t="shared" si="1"/>
        <v/>
      </c>
      <c r="M6" s="99"/>
    </row>
    <row r="7" ht="18.0" customHeight="1">
      <c r="A7" s="93">
        <v>3.0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 t="str">
        <f t="shared" si="1"/>
        <v/>
      </c>
      <c r="M7" s="93"/>
    </row>
    <row r="8" ht="18.0" customHeight="1">
      <c r="A8" s="99">
        <v>4.0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 t="str">
        <f t="shared" si="1"/>
        <v/>
      </c>
      <c r="M8" s="99"/>
    </row>
    <row r="9" ht="18.0" customHeight="1">
      <c r="A9" s="93">
        <v>5.0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 t="str">
        <f t="shared" si="1"/>
        <v/>
      </c>
      <c r="M9" s="93"/>
    </row>
    <row r="10" ht="18.0" customHeight="1">
      <c r="A10" s="99">
        <v>6.0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 t="str">
        <f t="shared" si="1"/>
        <v/>
      </c>
      <c r="M10" s="99"/>
    </row>
    <row r="11" ht="18.0" customHeight="1">
      <c r="A11" s="93">
        <v>7.0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 t="str">
        <f t="shared" si="1"/>
        <v/>
      </c>
      <c r="M11" s="93"/>
    </row>
    <row r="12" ht="18.0" customHeight="1">
      <c r="A12" s="99">
        <v>8.0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 t="str">
        <f t="shared" si="1"/>
        <v/>
      </c>
      <c r="M12" s="99"/>
    </row>
    <row r="13" ht="18.0" customHeight="1">
      <c r="A13" s="93">
        <v>9.0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 t="str">
        <f t="shared" si="1"/>
        <v/>
      </c>
      <c r="M13" s="93"/>
    </row>
    <row r="14" ht="18.0" customHeight="1">
      <c r="A14" s="99">
        <v>10.0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 t="str">
        <f t="shared" si="1"/>
        <v/>
      </c>
      <c r="M14" s="99"/>
    </row>
    <row r="15" ht="18.0" customHeight="1">
      <c r="A15" s="93">
        <v>11.0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 t="str">
        <f t="shared" si="1"/>
        <v/>
      </c>
      <c r="M15" s="93"/>
    </row>
    <row r="16" ht="18.0" customHeight="1">
      <c r="A16" s="99">
        <v>12.0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 t="str">
        <f t="shared" si="1"/>
        <v/>
      </c>
      <c r="M16" s="99"/>
    </row>
    <row r="17" ht="18.0" customHeight="1">
      <c r="A17" s="93">
        <v>13.0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 t="str">
        <f t="shared" si="1"/>
        <v/>
      </c>
      <c r="M17" s="93"/>
    </row>
    <row r="18" ht="18.0" customHeight="1">
      <c r="A18" s="99">
        <v>14.0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 t="str">
        <f t="shared" si="1"/>
        <v/>
      </c>
      <c r="M18" s="99"/>
    </row>
    <row r="19" ht="18.0" customHeight="1">
      <c r="A19" s="93">
        <v>15.0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 t="str">
        <f t="shared" si="1"/>
        <v/>
      </c>
      <c r="M19" s="93"/>
    </row>
    <row r="20" ht="18.0" customHeight="1">
      <c r="A20" s="99">
        <v>16.0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 t="str">
        <f t="shared" si="1"/>
        <v/>
      </c>
      <c r="M20" s="99"/>
    </row>
    <row r="21" ht="18.0" customHeight="1">
      <c r="A21" s="93">
        <v>17.0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 t="str">
        <f t="shared" si="1"/>
        <v/>
      </c>
      <c r="M21" s="93"/>
    </row>
    <row r="22" ht="18.0" customHeight="1">
      <c r="A22" s="99">
        <v>18.0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 t="str">
        <f t="shared" si="1"/>
        <v/>
      </c>
      <c r="M22" s="99"/>
    </row>
    <row r="23" ht="18.0" customHeight="1">
      <c r="A23" s="93">
        <v>19.0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 t="str">
        <f t="shared" si="1"/>
        <v/>
      </c>
      <c r="M23" s="93"/>
    </row>
    <row r="24" ht="18.0" customHeight="1">
      <c r="A24" s="99">
        <v>20.0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 t="str">
        <f t="shared" si="1"/>
        <v/>
      </c>
      <c r="M24" s="99"/>
    </row>
    <row r="25" ht="18.0" customHeight="1">
      <c r="A25" s="93">
        <v>21.0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 t="str">
        <f t="shared" si="1"/>
        <v/>
      </c>
      <c r="M25" s="93"/>
    </row>
    <row r="26" ht="18.0" customHeight="1">
      <c r="A26" s="99">
        <v>22.0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 t="str">
        <f t="shared" si="1"/>
        <v/>
      </c>
      <c r="M26" s="99"/>
    </row>
    <row r="27" ht="18.0" customHeight="1">
      <c r="A27" s="93">
        <v>23.0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 t="str">
        <f t="shared" si="1"/>
        <v/>
      </c>
      <c r="M27" s="93"/>
    </row>
    <row r="28" ht="18.0" customHeight="1">
      <c r="A28" s="99">
        <v>24.0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 t="str">
        <f t="shared" si="1"/>
        <v/>
      </c>
      <c r="M28" s="99"/>
    </row>
    <row r="29" ht="18.0" customHeight="1">
      <c r="A29" s="93">
        <v>25.0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 t="str">
        <f t="shared" si="1"/>
        <v/>
      </c>
      <c r="M29" s="93"/>
    </row>
    <row r="30" ht="18.0" customHeight="1">
      <c r="A30" s="99">
        <v>26.0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 t="str">
        <f t="shared" si="1"/>
        <v/>
      </c>
      <c r="M30" s="99"/>
    </row>
    <row r="31" ht="18.0" customHeight="1">
      <c r="A31" s="93">
        <v>27.0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 t="str">
        <f t="shared" si="1"/>
        <v/>
      </c>
      <c r="M31" s="93"/>
    </row>
    <row r="32" ht="18.0" customHeight="1">
      <c r="A32" s="99">
        <v>28.0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 t="str">
        <f t="shared" si="1"/>
        <v/>
      </c>
      <c r="M32" s="99"/>
    </row>
    <row r="33" ht="18.0" customHeight="1">
      <c r="A33" s="93">
        <v>29.0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 t="str">
        <f t="shared" si="1"/>
        <v/>
      </c>
      <c r="M33" s="93"/>
    </row>
    <row r="34" ht="18.0" customHeight="1">
      <c r="A34" s="99">
        <v>30.0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 t="str">
        <f t="shared" si="1"/>
        <v/>
      </c>
      <c r="M34" s="99"/>
    </row>
    <row r="35" ht="18.0" customHeight="1">
      <c r="A35" s="93">
        <v>31.0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 t="str">
        <f t="shared" si="1"/>
        <v/>
      </c>
      <c r="M35" s="93"/>
    </row>
    <row r="36" ht="18.0" customHeight="1">
      <c r="A36" s="99">
        <v>32.0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 t="str">
        <f t="shared" si="1"/>
        <v/>
      </c>
      <c r="M36" s="99"/>
    </row>
    <row r="37" ht="18.0" customHeight="1">
      <c r="A37" s="93">
        <v>33.0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 t="str">
        <f t="shared" si="1"/>
        <v/>
      </c>
      <c r="M37" s="93"/>
    </row>
    <row r="38" ht="18.0" customHeight="1">
      <c r="A38" s="99">
        <v>34.0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 t="str">
        <f t="shared" si="1"/>
        <v/>
      </c>
      <c r="M38" s="99"/>
    </row>
    <row r="39" ht="18.0" customHeight="1">
      <c r="A39" s="93">
        <v>35.0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 t="str">
        <f t="shared" si="1"/>
        <v/>
      </c>
      <c r="M39" s="93"/>
    </row>
    <row r="40" ht="18.0" customHeight="1">
      <c r="A40" s="99">
        <v>36.0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 t="str">
        <f t="shared" si="1"/>
        <v/>
      </c>
      <c r="M40" s="99"/>
    </row>
    <row r="41" ht="18.0" customHeight="1">
      <c r="A41" s="93">
        <v>37.0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 t="str">
        <f t="shared" si="1"/>
        <v/>
      </c>
      <c r="M41" s="93"/>
    </row>
    <row r="42" ht="18.0" customHeight="1">
      <c r="A42" s="99">
        <v>38.0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 t="str">
        <f t="shared" si="1"/>
        <v/>
      </c>
      <c r="M42" s="99"/>
    </row>
    <row r="43" ht="18.0" customHeight="1">
      <c r="A43" s="93">
        <v>39.0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 t="str">
        <f t="shared" si="1"/>
        <v/>
      </c>
      <c r="M43" s="93"/>
    </row>
    <row r="44" ht="18.0" customHeight="1">
      <c r="A44" s="99">
        <v>40.0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 t="str">
        <f t="shared" si="1"/>
        <v/>
      </c>
      <c r="M44" s="99"/>
    </row>
    <row r="45" ht="18.0" customHeight="1">
      <c r="A45" s="93">
        <v>41.0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 t="str">
        <f t="shared" si="1"/>
        <v/>
      </c>
      <c r="M45" s="93"/>
    </row>
    <row r="46" ht="18.0" customHeight="1">
      <c r="A46" s="99">
        <v>42.0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 t="str">
        <f t="shared" si="1"/>
        <v/>
      </c>
      <c r="M46" s="99"/>
    </row>
    <row r="47" ht="18.0" customHeight="1">
      <c r="A47" s="93">
        <v>43.0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 t="str">
        <f t="shared" si="1"/>
        <v/>
      </c>
      <c r="M47" s="93"/>
    </row>
    <row r="48" ht="18.0" customHeight="1">
      <c r="A48" s="99">
        <v>44.0</v>
      </c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 t="str">
        <f t="shared" si="1"/>
        <v/>
      </c>
      <c r="M48" s="99"/>
    </row>
    <row r="49" ht="18.0" customHeight="1">
      <c r="A49" s="93">
        <v>45.0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 t="str">
        <f t="shared" si="1"/>
        <v/>
      </c>
      <c r="M49" s="93"/>
    </row>
    <row r="50" ht="18.0" customHeight="1">
      <c r="A50" s="99">
        <v>46.0</v>
      </c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 t="str">
        <f t="shared" si="1"/>
        <v/>
      </c>
      <c r="M50" s="99"/>
    </row>
    <row r="51" ht="18.0" customHeight="1">
      <c r="A51" s="93">
        <v>47.0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 t="str">
        <f t="shared" si="1"/>
        <v/>
      </c>
      <c r="M51" s="93"/>
    </row>
    <row r="52" ht="18.0" customHeight="1">
      <c r="A52" s="99">
        <v>48.0</v>
      </c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 t="str">
        <f t="shared" si="1"/>
        <v/>
      </c>
      <c r="M52" s="99"/>
    </row>
    <row r="53" ht="18.0" customHeight="1">
      <c r="A53" s="93">
        <v>49.0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 t="str">
        <f t="shared" si="1"/>
        <v/>
      </c>
      <c r="M53" s="93"/>
    </row>
    <row r="54" ht="18.0" customHeight="1">
      <c r="A54" s="99">
        <v>50.0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 t="str">
        <f t="shared" si="1"/>
        <v/>
      </c>
      <c r="M54" s="99"/>
    </row>
    <row r="55" ht="18.0" customHeight="1">
      <c r="A55" s="93">
        <v>51.0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 t="str">
        <f t="shared" si="1"/>
        <v/>
      </c>
      <c r="M55" s="93"/>
    </row>
    <row r="56" ht="18.0" customHeight="1">
      <c r="A56" s="99">
        <v>52.0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 t="str">
        <f t="shared" si="1"/>
        <v/>
      </c>
      <c r="M56" s="99"/>
    </row>
    <row r="57" ht="18.0" customHeight="1">
      <c r="A57" s="93">
        <v>53.0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 t="str">
        <f t="shared" si="1"/>
        <v/>
      </c>
      <c r="M57" s="93"/>
    </row>
    <row r="58" ht="18.0" customHeight="1">
      <c r="A58" s="99">
        <v>54.0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 t="str">
        <f t="shared" si="1"/>
        <v/>
      </c>
      <c r="M58" s="99"/>
    </row>
    <row r="59" ht="18.0" customHeight="1">
      <c r="A59" s="93">
        <v>55.0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 t="str">
        <f t="shared" si="1"/>
        <v/>
      </c>
      <c r="M59" s="93"/>
    </row>
    <row r="60" ht="18.0" customHeight="1">
      <c r="A60" s="99">
        <v>56.0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 t="str">
        <f t="shared" si="1"/>
        <v/>
      </c>
      <c r="M60" s="99"/>
    </row>
    <row r="61" ht="18.0" customHeight="1">
      <c r="A61" s="93">
        <v>57.0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 t="str">
        <f t="shared" si="1"/>
        <v/>
      </c>
      <c r="M61" s="93"/>
    </row>
    <row r="62" ht="18.0" customHeight="1">
      <c r="A62" s="99">
        <v>58.0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 t="str">
        <f t="shared" si="1"/>
        <v/>
      </c>
      <c r="M62" s="99"/>
    </row>
    <row r="63" ht="18.0" customHeight="1">
      <c r="A63" s="93">
        <v>59.0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 t="str">
        <f t="shared" si="1"/>
        <v/>
      </c>
      <c r="M63" s="93"/>
    </row>
    <row r="64" ht="18.0" customHeight="1">
      <c r="A64" s="99">
        <v>60.0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 t="str">
        <f t="shared" si="1"/>
        <v/>
      </c>
      <c r="M64" s="99"/>
    </row>
    <row r="65" ht="18.0" customHeight="1">
      <c r="A65" s="93">
        <v>61.0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 t="str">
        <f t="shared" si="1"/>
        <v/>
      </c>
      <c r="M65" s="93"/>
    </row>
    <row r="66" ht="18.0" customHeight="1">
      <c r="A66" s="99">
        <v>62.0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 t="str">
        <f t="shared" si="1"/>
        <v/>
      </c>
      <c r="M66" s="99"/>
    </row>
    <row r="67" ht="18.0" customHeight="1">
      <c r="A67" s="93">
        <v>63.0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 t="str">
        <f t="shared" si="1"/>
        <v/>
      </c>
      <c r="M67" s="93"/>
    </row>
    <row r="68" ht="18.0" customHeight="1">
      <c r="A68" s="99">
        <v>64.0</v>
      </c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 t="str">
        <f t="shared" si="1"/>
        <v/>
      </c>
      <c r="M68" s="99"/>
    </row>
    <row r="69" ht="18.0" customHeight="1">
      <c r="A69" s="93">
        <v>65.0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 t="str">
        <f t="shared" si="1"/>
        <v/>
      </c>
      <c r="M69" s="93"/>
    </row>
    <row r="70" ht="18.0" customHeight="1">
      <c r="A70" s="99">
        <v>66.0</v>
      </c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 t="str">
        <f t="shared" si="1"/>
        <v/>
      </c>
      <c r="M70" s="99"/>
    </row>
    <row r="71" ht="18.0" customHeight="1">
      <c r="A71" s="93">
        <v>67.0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 t="str">
        <f t="shared" si="1"/>
        <v/>
      </c>
      <c r="M71" s="93"/>
    </row>
    <row r="72" ht="18.0" customHeight="1">
      <c r="A72" s="99">
        <v>68.0</v>
      </c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 t="str">
        <f t="shared" si="1"/>
        <v/>
      </c>
      <c r="M72" s="99"/>
    </row>
    <row r="73" ht="18.0" customHeight="1">
      <c r="A73" s="93">
        <v>69.0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 t="str">
        <f t="shared" si="1"/>
        <v/>
      </c>
      <c r="M73" s="93"/>
    </row>
    <row r="74" ht="18.0" customHeight="1">
      <c r="A74" s="99">
        <v>70.0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 t="str">
        <f t="shared" si="1"/>
        <v/>
      </c>
      <c r="M74" s="99"/>
    </row>
    <row r="75" ht="18.0" customHeight="1">
      <c r="A75" s="93">
        <v>71.0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 t="str">
        <f t="shared" si="1"/>
        <v/>
      </c>
      <c r="M75" s="93"/>
    </row>
    <row r="76" ht="18.0" customHeight="1">
      <c r="A76" s="99">
        <v>72.0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 t="str">
        <f t="shared" si="1"/>
        <v/>
      </c>
      <c r="M76" s="99"/>
    </row>
    <row r="77" ht="18.0" customHeight="1">
      <c r="A77" s="93">
        <v>73.0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 t="str">
        <f t="shared" si="1"/>
        <v/>
      </c>
      <c r="M77" s="93"/>
    </row>
    <row r="78" ht="18.0" customHeight="1">
      <c r="A78" s="99">
        <v>74.0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 t="str">
        <f t="shared" si="1"/>
        <v/>
      </c>
      <c r="M78" s="99"/>
    </row>
    <row r="79" ht="18.0" customHeight="1">
      <c r="A79" s="93">
        <v>75.0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 t="str">
        <f t="shared" si="1"/>
        <v/>
      </c>
      <c r="M79" s="93"/>
    </row>
    <row r="80" ht="18.0" customHeight="1">
      <c r="A80" s="99">
        <v>76.0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 t="str">
        <f t="shared" si="1"/>
        <v/>
      </c>
      <c r="M80" s="99"/>
    </row>
    <row r="81" ht="18.0" customHeight="1">
      <c r="A81" s="93">
        <v>77.0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 t="str">
        <f t="shared" si="1"/>
        <v/>
      </c>
      <c r="M81" s="93"/>
    </row>
    <row r="82" ht="18.0" customHeight="1">
      <c r="A82" s="99">
        <v>78.0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 t="str">
        <f t="shared" si="1"/>
        <v/>
      </c>
      <c r="M82" s="99"/>
    </row>
    <row r="83" ht="18.0" customHeight="1">
      <c r="A83" s="93">
        <v>79.0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 t="str">
        <f t="shared" si="1"/>
        <v/>
      </c>
      <c r="M83" s="93"/>
    </row>
    <row r="84" ht="18.0" customHeight="1">
      <c r="A84" s="99">
        <v>80.0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 t="str">
        <f t="shared" si="1"/>
        <v/>
      </c>
      <c r="M84" s="99"/>
    </row>
    <row r="85" ht="18.0" customHeight="1">
      <c r="A85" s="93">
        <v>81.0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 t="str">
        <f t="shared" si="1"/>
        <v/>
      </c>
      <c r="M85" s="93"/>
    </row>
    <row r="86" ht="18.0" customHeight="1">
      <c r="A86" s="99">
        <v>82.0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 t="str">
        <f t="shared" si="1"/>
        <v/>
      </c>
      <c r="M86" s="99"/>
    </row>
    <row r="87" ht="18.0" customHeight="1">
      <c r="A87" s="93">
        <v>83.0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 t="str">
        <f t="shared" si="1"/>
        <v/>
      </c>
      <c r="M87" s="93"/>
    </row>
    <row r="88" ht="18.0" customHeight="1">
      <c r="A88" s="99">
        <v>84.0</v>
      </c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 t="str">
        <f t="shared" si="1"/>
        <v/>
      </c>
      <c r="M88" s="99"/>
    </row>
    <row r="89" ht="18.0" customHeight="1">
      <c r="A89" s="93">
        <v>85.0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 t="str">
        <f t="shared" si="1"/>
        <v/>
      </c>
      <c r="M89" s="93"/>
    </row>
    <row r="90" ht="18.0" customHeight="1">
      <c r="A90" s="99">
        <v>86.0</v>
      </c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 t="str">
        <f t="shared" si="1"/>
        <v/>
      </c>
      <c r="M90" s="99"/>
    </row>
    <row r="91" ht="18.0" customHeight="1">
      <c r="A91" s="93">
        <v>87.0</v>
      </c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 t="str">
        <f t="shared" si="1"/>
        <v/>
      </c>
      <c r="M91" s="93"/>
    </row>
    <row r="92" ht="18.0" customHeight="1">
      <c r="A92" s="99">
        <v>88.0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 t="str">
        <f t="shared" si="1"/>
        <v/>
      </c>
      <c r="M92" s="99"/>
    </row>
    <row r="93" ht="18.0" customHeight="1">
      <c r="A93" s="93">
        <v>89.0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 t="str">
        <f t="shared" si="1"/>
        <v/>
      </c>
      <c r="M93" s="93"/>
    </row>
    <row r="94" ht="18.0" customHeight="1">
      <c r="A94" s="99">
        <v>90.0</v>
      </c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 t="str">
        <f t="shared" si="1"/>
        <v/>
      </c>
      <c r="M94" s="99"/>
    </row>
    <row r="95" ht="18.0" customHeight="1">
      <c r="A95" s="93">
        <v>91.0</v>
      </c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 t="str">
        <f t="shared" si="1"/>
        <v/>
      </c>
      <c r="M95" s="93"/>
    </row>
    <row r="96" ht="18.0" customHeight="1">
      <c r="A96" s="99">
        <v>92.0</v>
      </c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 t="str">
        <f t="shared" si="1"/>
        <v/>
      </c>
      <c r="M96" s="99"/>
    </row>
    <row r="97" ht="18.0" customHeight="1">
      <c r="A97" s="93">
        <v>93.0</v>
      </c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 t="str">
        <f t="shared" si="1"/>
        <v/>
      </c>
      <c r="M97" s="93"/>
    </row>
    <row r="98" ht="18.0" customHeight="1">
      <c r="A98" s="99">
        <v>94.0</v>
      </c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 t="str">
        <f t="shared" si="1"/>
        <v/>
      </c>
      <c r="M98" s="99"/>
    </row>
    <row r="99" ht="18.0" customHeight="1">
      <c r="A99" s="93">
        <v>95.0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 t="str">
        <f t="shared" si="1"/>
        <v/>
      </c>
      <c r="M99" s="93"/>
    </row>
    <row r="100" ht="18.0" customHeight="1">
      <c r="A100" s="99">
        <v>96.0</v>
      </c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 t="str">
        <f t="shared" si="1"/>
        <v/>
      </c>
      <c r="M100" s="99"/>
    </row>
    <row r="101" ht="18.0" customHeight="1">
      <c r="A101" s="93">
        <v>97.0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 t="str">
        <f t="shared" si="1"/>
        <v/>
      </c>
      <c r="M101" s="93"/>
    </row>
    <row r="102" ht="18.0" customHeight="1">
      <c r="A102" s="99">
        <v>98.0</v>
      </c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 t="str">
        <f t="shared" si="1"/>
        <v/>
      </c>
      <c r="M102" s="99"/>
    </row>
    <row r="103" ht="18.0" customHeight="1">
      <c r="A103" s="93">
        <v>99.0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 t="str">
        <f t="shared" si="1"/>
        <v/>
      </c>
      <c r="M103" s="93"/>
    </row>
    <row r="104" ht="18.0" customHeight="1">
      <c r="A104" s="99">
        <v>100.0</v>
      </c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 t="str">
        <f t="shared" si="1"/>
        <v/>
      </c>
      <c r="M104" s="99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M1"/>
    <mergeCell ref="A2:M2"/>
    <mergeCell ref="A3:D3"/>
    <mergeCell ref="F3:H3"/>
    <mergeCell ref="J3:K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4" width="3.0"/>
    <col customWidth="1" min="5" max="5" width="50.0"/>
    <col customWidth="1" min="6" max="6" width="10.0"/>
    <col customWidth="1" min="7" max="26" width="8.71"/>
  </cols>
  <sheetData>
    <row r="1" ht="39.75" customHeight="1">
      <c r="A1" s="25" t="s">
        <v>583</v>
      </c>
      <c r="B1" s="2"/>
      <c r="C1" s="2"/>
      <c r="D1" s="2"/>
      <c r="E1" s="2"/>
      <c r="F1" s="3"/>
    </row>
    <row r="2" ht="21.75" customHeight="1">
      <c r="A2" s="26" t="s">
        <v>584</v>
      </c>
      <c r="B2" s="2"/>
      <c r="C2" s="2"/>
      <c r="D2" s="2"/>
      <c r="E2" s="2"/>
      <c r="F2" s="3"/>
    </row>
    <row r="4" ht="27.75" customHeight="1">
      <c r="A4" s="103" t="s">
        <v>585</v>
      </c>
      <c r="B4" s="2"/>
      <c r="C4" s="2"/>
      <c r="D4" s="2"/>
      <c r="E4" s="2"/>
      <c r="F4" s="3"/>
    </row>
    <row r="5" ht="21.75" customHeight="1">
      <c r="A5" s="104" t="s">
        <v>586</v>
      </c>
      <c r="B5" s="10"/>
      <c r="C5" s="10"/>
      <c r="D5" s="11"/>
      <c r="E5" s="105"/>
      <c r="F5" s="11"/>
    </row>
    <row r="6" ht="21.75" customHeight="1">
      <c r="A6" s="104" t="s">
        <v>587</v>
      </c>
      <c r="B6" s="10"/>
      <c r="C6" s="10"/>
      <c r="D6" s="11"/>
      <c r="E6" s="105"/>
      <c r="F6" s="11"/>
    </row>
    <row r="7" ht="21.75" customHeight="1">
      <c r="A7" s="104" t="s">
        <v>588</v>
      </c>
      <c r="B7" s="10"/>
      <c r="C7" s="10"/>
      <c r="D7" s="11"/>
      <c r="E7" s="105"/>
      <c r="F7" s="11"/>
    </row>
    <row r="8" ht="21.75" customHeight="1">
      <c r="A8" s="104" t="s">
        <v>589</v>
      </c>
      <c r="B8" s="10"/>
      <c r="C8" s="10"/>
      <c r="D8" s="11"/>
      <c r="E8" s="105"/>
      <c r="F8" s="11"/>
    </row>
    <row r="10" ht="27.75" customHeight="1">
      <c r="A10" s="103" t="s">
        <v>590</v>
      </c>
      <c r="B10" s="2"/>
      <c r="C10" s="2"/>
      <c r="D10" s="2"/>
      <c r="E10" s="2"/>
      <c r="F10" s="3"/>
    </row>
    <row r="11" ht="21.75" customHeight="1">
      <c r="A11" s="104" t="s">
        <v>591</v>
      </c>
      <c r="B11" s="10"/>
      <c r="C11" s="10"/>
      <c r="D11" s="11"/>
      <c r="E11" s="105"/>
      <c r="F11" s="11"/>
    </row>
    <row r="12" ht="21.75" customHeight="1">
      <c r="A12" s="104" t="s">
        <v>592</v>
      </c>
      <c r="B12" s="10"/>
      <c r="C12" s="10"/>
      <c r="D12" s="11"/>
      <c r="E12" s="105"/>
      <c r="F12" s="11"/>
    </row>
    <row r="13" ht="21.75" customHeight="1">
      <c r="A13" s="104" t="s">
        <v>593</v>
      </c>
      <c r="B13" s="10"/>
      <c r="C13" s="10"/>
      <c r="D13" s="11"/>
      <c r="E13" s="105"/>
      <c r="F13" s="11"/>
    </row>
    <row r="14" ht="21.75" customHeight="1">
      <c r="A14" s="104" t="s">
        <v>594</v>
      </c>
      <c r="B14" s="10"/>
      <c r="C14" s="10"/>
      <c r="D14" s="11"/>
      <c r="E14" s="105"/>
      <c r="F14" s="11"/>
    </row>
    <row r="15" ht="21.75" customHeight="1">
      <c r="A15" s="104" t="s">
        <v>595</v>
      </c>
      <c r="B15" s="10"/>
      <c r="C15" s="10"/>
      <c r="D15" s="11"/>
      <c r="E15" s="105"/>
      <c r="F15" s="11"/>
    </row>
    <row r="16" ht="21.75" customHeight="1">
      <c r="A16" s="104" t="s">
        <v>596</v>
      </c>
      <c r="B16" s="10"/>
      <c r="C16" s="10"/>
      <c r="D16" s="11"/>
      <c r="E16" s="105"/>
      <c r="F16" s="11"/>
    </row>
    <row r="17" ht="21.75" customHeight="1">
      <c r="A17" s="104" t="s">
        <v>597</v>
      </c>
      <c r="B17" s="10"/>
      <c r="C17" s="10"/>
      <c r="D17" s="11"/>
      <c r="E17" s="105"/>
      <c r="F17" s="11"/>
    </row>
    <row r="18" ht="21.75" customHeight="1">
      <c r="A18" s="104" t="s">
        <v>598</v>
      </c>
      <c r="B18" s="10"/>
      <c r="C18" s="10"/>
      <c r="D18" s="11"/>
      <c r="E18" s="105"/>
      <c r="F18" s="11"/>
    </row>
    <row r="20" ht="27.75" customHeight="1">
      <c r="A20" s="103" t="s">
        <v>599</v>
      </c>
      <c r="B20" s="2"/>
      <c r="C20" s="2"/>
      <c r="D20" s="2"/>
      <c r="E20" s="2"/>
      <c r="F20" s="3"/>
    </row>
    <row r="21" ht="21.75" customHeight="1">
      <c r="A21" s="104" t="s">
        <v>600</v>
      </c>
      <c r="B21" s="10"/>
      <c r="C21" s="10"/>
      <c r="D21" s="11"/>
      <c r="E21" s="105"/>
      <c r="F21" s="11"/>
    </row>
    <row r="22" ht="21.75" customHeight="1">
      <c r="A22" s="104" t="s">
        <v>601</v>
      </c>
      <c r="B22" s="10"/>
      <c r="C22" s="10"/>
      <c r="D22" s="11"/>
      <c r="E22" s="105"/>
      <c r="F22" s="11"/>
    </row>
    <row r="23" ht="21.75" customHeight="1">
      <c r="A23" s="104" t="s">
        <v>602</v>
      </c>
      <c r="B23" s="10"/>
      <c r="C23" s="10"/>
      <c r="D23" s="11"/>
      <c r="E23" s="105"/>
      <c r="F23" s="11"/>
    </row>
    <row r="24" ht="21.75" customHeight="1">
      <c r="A24" s="104" t="s">
        <v>603</v>
      </c>
      <c r="B24" s="10"/>
      <c r="C24" s="10"/>
      <c r="D24" s="11"/>
      <c r="E24" s="105"/>
      <c r="F24" s="11"/>
    </row>
    <row r="25" ht="21.75" customHeight="1">
      <c r="A25" s="104" t="s">
        <v>604</v>
      </c>
      <c r="B25" s="10"/>
      <c r="C25" s="10"/>
      <c r="D25" s="11"/>
      <c r="E25" s="105"/>
      <c r="F25" s="11"/>
    </row>
    <row r="26" ht="21.75" customHeight="1">
      <c r="A26" s="104" t="s">
        <v>605</v>
      </c>
      <c r="B26" s="10"/>
      <c r="C26" s="10"/>
      <c r="D26" s="11"/>
      <c r="E26" s="105"/>
      <c r="F26" s="11"/>
    </row>
    <row r="27" ht="15.75" customHeight="1"/>
    <row r="28" ht="27.75" customHeight="1">
      <c r="A28" s="103" t="s">
        <v>606</v>
      </c>
      <c r="B28" s="2"/>
      <c r="C28" s="2"/>
      <c r="D28" s="2"/>
      <c r="E28" s="2"/>
      <c r="F28" s="3"/>
    </row>
    <row r="29" ht="21.75" customHeight="1">
      <c r="A29" s="104" t="s">
        <v>607</v>
      </c>
      <c r="B29" s="10"/>
      <c r="C29" s="10"/>
      <c r="D29" s="11"/>
      <c r="E29" s="105"/>
      <c r="F29" s="11"/>
    </row>
    <row r="30" ht="21.75" customHeight="1">
      <c r="A30" s="104" t="s">
        <v>608</v>
      </c>
      <c r="B30" s="10"/>
      <c r="C30" s="10"/>
      <c r="D30" s="11"/>
      <c r="E30" s="105"/>
      <c r="F30" s="11"/>
    </row>
    <row r="31" ht="21.75" customHeight="1">
      <c r="A31" s="104" t="s">
        <v>609</v>
      </c>
      <c r="B31" s="10"/>
      <c r="C31" s="10"/>
      <c r="D31" s="11"/>
      <c r="E31" s="105"/>
      <c r="F31" s="11"/>
    </row>
    <row r="32" ht="21.75" customHeight="1">
      <c r="A32" s="104" t="s">
        <v>610</v>
      </c>
      <c r="B32" s="10"/>
      <c r="C32" s="10"/>
      <c r="D32" s="11"/>
      <c r="E32" s="105"/>
      <c r="F32" s="11"/>
    </row>
    <row r="33" ht="21.75" customHeight="1">
      <c r="A33" s="104" t="s">
        <v>611</v>
      </c>
      <c r="B33" s="10"/>
      <c r="C33" s="10"/>
      <c r="D33" s="11"/>
      <c r="E33" s="105"/>
      <c r="F33" s="11"/>
    </row>
    <row r="34" ht="21.75" customHeight="1">
      <c r="A34" s="104" t="s">
        <v>612</v>
      </c>
      <c r="B34" s="10"/>
      <c r="C34" s="10"/>
      <c r="D34" s="11"/>
      <c r="E34" s="105"/>
      <c r="F34" s="11"/>
    </row>
    <row r="35" ht="15.75" customHeight="1"/>
    <row r="36" ht="27.75" customHeight="1">
      <c r="A36" s="103" t="s">
        <v>613</v>
      </c>
      <c r="B36" s="2"/>
      <c r="C36" s="2"/>
      <c r="D36" s="2"/>
      <c r="E36" s="2"/>
      <c r="F36" s="3"/>
    </row>
    <row r="37" ht="21.75" customHeight="1">
      <c r="A37" s="104" t="s">
        <v>614</v>
      </c>
      <c r="B37" s="10"/>
      <c r="C37" s="10"/>
      <c r="D37" s="11"/>
      <c r="E37" s="105"/>
      <c r="F37" s="11"/>
    </row>
    <row r="38" ht="21.75" customHeight="1">
      <c r="A38" s="104" t="s">
        <v>615</v>
      </c>
      <c r="B38" s="10"/>
      <c r="C38" s="10"/>
      <c r="D38" s="11"/>
      <c r="E38" s="105"/>
      <c r="F38" s="11"/>
    </row>
    <row r="39" ht="21.75" customHeight="1">
      <c r="A39" s="104" t="s">
        <v>616</v>
      </c>
      <c r="B39" s="10"/>
      <c r="C39" s="10"/>
      <c r="D39" s="11"/>
      <c r="E39" s="105"/>
      <c r="F39" s="11"/>
    </row>
    <row r="40" ht="21.75" customHeight="1">
      <c r="A40" s="104" t="s">
        <v>617</v>
      </c>
      <c r="B40" s="10"/>
      <c r="C40" s="10"/>
      <c r="D40" s="11"/>
      <c r="E40" s="105"/>
      <c r="F40" s="11"/>
    </row>
    <row r="41" ht="21.75" customHeight="1">
      <c r="A41" s="104" t="s">
        <v>618</v>
      </c>
      <c r="B41" s="10"/>
      <c r="C41" s="10"/>
      <c r="D41" s="11"/>
      <c r="E41" s="105"/>
      <c r="F41" s="11"/>
    </row>
    <row r="42" ht="21.75" customHeight="1">
      <c r="A42" s="104" t="s">
        <v>615</v>
      </c>
      <c r="B42" s="10"/>
      <c r="C42" s="10"/>
      <c r="D42" s="11"/>
      <c r="E42" s="105"/>
      <c r="F42" s="11"/>
    </row>
    <row r="43" ht="21.75" customHeight="1">
      <c r="A43" s="104" t="s">
        <v>616</v>
      </c>
      <c r="B43" s="10"/>
      <c r="C43" s="10"/>
      <c r="D43" s="11"/>
      <c r="E43" s="105"/>
      <c r="F43" s="11"/>
    </row>
    <row r="44" ht="21.75" customHeight="1">
      <c r="A44" s="104" t="s">
        <v>617</v>
      </c>
      <c r="B44" s="10"/>
      <c r="C44" s="10"/>
      <c r="D44" s="11"/>
      <c r="E44" s="105"/>
      <c r="F44" s="11"/>
    </row>
    <row r="45" ht="21.75" customHeight="1">
      <c r="A45" s="104" t="s">
        <v>619</v>
      </c>
      <c r="B45" s="10"/>
      <c r="C45" s="10"/>
      <c r="D45" s="11"/>
      <c r="E45" s="105"/>
      <c r="F45" s="11"/>
    </row>
    <row r="46" ht="21.75" customHeight="1">
      <c r="A46" s="104" t="s">
        <v>615</v>
      </c>
      <c r="B46" s="10"/>
      <c r="C46" s="10"/>
      <c r="D46" s="11"/>
      <c r="E46" s="105"/>
      <c r="F46" s="11"/>
    </row>
    <row r="47" ht="21.75" customHeight="1">
      <c r="A47" s="104" t="s">
        <v>616</v>
      </c>
      <c r="B47" s="10"/>
      <c r="C47" s="10"/>
      <c r="D47" s="11"/>
      <c r="E47" s="105"/>
      <c r="F47" s="11"/>
    </row>
    <row r="48" ht="21.75" customHeight="1">
      <c r="A48" s="104" t="s">
        <v>617</v>
      </c>
      <c r="B48" s="10"/>
      <c r="C48" s="10"/>
      <c r="D48" s="11"/>
      <c r="E48" s="105"/>
      <c r="F48" s="11"/>
    </row>
    <row r="49" ht="15.75" customHeight="1"/>
    <row r="50" ht="27.75" customHeight="1">
      <c r="A50" s="103" t="s">
        <v>620</v>
      </c>
      <c r="B50" s="2"/>
      <c r="C50" s="2"/>
      <c r="D50" s="2"/>
      <c r="E50" s="2"/>
      <c r="F50" s="3"/>
    </row>
    <row r="51" ht="21.75" customHeight="1">
      <c r="A51" s="104" t="s">
        <v>621</v>
      </c>
      <c r="B51" s="10"/>
      <c r="C51" s="10"/>
      <c r="D51" s="11"/>
      <c r="E51" s="105"/>
      <c r="F51" s="11"/>
    </row>
    <row r="52" ht="21.75" customHeight="1">
      <c r="A52" s="104" t="s">
        <v>622</v>
      </c>
      <c r="B52" s="10"/>
      <c r="C52" s="10"/>
      <c r="D52" s="11"/>
      <c r="E52" s="105"/>
      <c r="F52" s="11"/>
    </row>
    <row r="53" ht="21.75" customHeight="1">
      <c r="A53" s="104" t="s">
        <v>623</v>
      </c>
      <c r="B53" s="10"/>
      <c r="C53" s="10"/>
      <c r="D53" s="11"/>
      <c r="E53" s="105"/>
      <c r="F53" s="11"/>
    </row>
    <row r="54" ht="21.75" customHeight="1">
      <c r="A54" s="104" t="s">
        <v>624</v>
      </c>
      <c r="B54" s="10"/>
      <c r="C54" s="10"/>
      <c r="D54" s="11"/>
      <c r="E54" s="105"/>
      <c r="F54" s="11"/>
    </row>
    <row r="55" ht="21.75" customHeight="1">
      <c r="A55" s="104" t="s">
        <v>625</v>
      </c>
      <c r="B55" s="10"/>
      <c r="C55" s="10"/>
      <c r="D55" s="11"/>
      <c r="E55" s="105"/>
      <c r="F55" s="11"/>
    </row>
    <row r="56" ht="21.75" customHeight="1">
      <c r="A56" s="104" t="s">
        <v>626</v>
      </c>
      <c r="B56" s="10"/>
      <c r="C56" s="10"/>
      <c r="D56" s="11"/>
      <c r="E56" s="105"/>
      <c r="F56" s="11"/>
    </row>
    <row r="57" ht="15.75" customHeight="1"/>
    <row r="58" ht="27.75" customHeight="1">
      <c r="A58" s="103" t="s">
        <v>627</v>
      </c>
      <c r="B58" s="2"/>
      <c r="C58" s="2"/>
      <c r="D58" s="2"/>
      <c r="E58" s="2"/>
      <c r="F58" s="3"/>
    </row>
    <row r="59" ht="21.75" customHeight="1">
      <c r="A59" s="104" t="s">
        <v>628</v>
      </c>
      <c r="B59" s="10"/>
      <c r="C59" s="10"/>
      <c r="D59" s="11"/>
      <c r="E59" s="105"/>
      <c r="F59" s="11"/>
    </row>
    <row r="60" ht="21.75" customHeight="1">
      <c r="A60" s="104" t="s">
        <v>629</v>
      </c>
      <c r="B60" s="10"/>
      <c r="C60" s="10"/>
      <c r="D60" s="11"/>
      <c r="E60" s="105"/>
      <c r="F60" s="11"/>
    </row>
    <row r="61" ht="21.75" customHeight="1">
      <c r="A61" s="104" t="s">
        <v>630</v>
      </c>
      <c r="B61" s="10"/>
      <c r="C61" s="10"/>
      <c r="D61" s="11"/>
      <c r="E61" s="105"/>
      <c r="F61" s="11"/>
    </row>
    <row r="62" ht="21.75" customHeight="1">
      <c r="A62" s="104" t="s">
        <v>631</v>
      </c>
      <c r="B62" s="10"/>
      <c r="C62" s="10"/>
      <c r="D62" s="11"/>
      <c r="E62" s="105"/>
      <c r="F62" s="11"/>
    </row>
    <row r="63" ht="21.75" customHeight="1">
      <c r="A63" s="104" t="s">
        <v>632</v>
      </c>
      <c r="B63" s="10"/>
      <c r="C63" s="10"/>
      <c r="D63" s="11"/>
      <c r="E63" s="105"/>
      <c r="F63" s="11"/>
    </row>
    <row r="64" ht="21.75" customHeight="1">
      <c r="A64" s="104" t="s">
        <v>633</v>
      </c>
      <c r="B64" s="10"/>
      <c r="C64" s="10"/>
      <c r="D64" s="11"/>
      <c r="E64" s="105"/>
      <c r="F64" s="11"/>
    </row>
    <row r="65" ht="21.75" customHeight="1">
      <c r="A65" s="104" t="s">
        <v>634</v>
      </c>
      <c r="B65" s="10"/>
      <c r="C65" s="10"/>
      <c r="D65" s="11"/>
      <c r="E65" s="105"/>
      <c r="F65" s="11"/>
    </row>
    <row r="66" ht="21.75" customHeight="1">
      <c r="A66" s="104" t="s">
        <v>635</v>
      </c>
      <c r="B66" s="10"/>
      <c r="C66" s="10"/>
      <c r="D66" s="11"/>
      <c r="E66" s="105" t="str">
        <f>AVERAGE(D59:D65)</f>
        <v>#DIV/0!</v>
      </c>
      <c r="F66" s="11"/>
    </row>
    <row r="67" ht="15.75" customHeight="1"/>
    <row r="68" ht="27.75" customHeight="1">
      <c r="A68" s="103" t="s">
        <v>636</v>
      </c>
      <c r="B68" s="2"/>
      <c r="C68" s="2"/>
      <c r="D68" s="2"/>
      <c r="E68" s="2"/>
      <c r="F68" s="3"/>
    </row>
    <row r="69" ht="21.75" customHeight="1">
      <c r="A69" s="104" t="s">
        <v>637</v>
      </c>
      <c r="B69" s="10"/>
      <c r="C69" s="10"/>
      <c r="D69" s="11"/>
      <c r="E69" s="106"/>
      <c r="F69" s="11"/>
    </row>
    <row r="70" ht="21.75" customHeight="1">
      <c r="A70" s="104" t="s">
        <v>638</v>
      </c>
      <c r="B70" s="10"/>
      <c r="C70" s="10"/>
      <c r="D70" s="11"/>
      <c r="E70" s="106"/>
      <c r="F70" s="11"/>
    </row>
    <row r="71" ht="21.75" customHeight="1">
      <c r="A71" s="104" t="s">
        <v>639</v>
      </c>
      <c r="B71" s="10"/>
      <c r="C71" s="10"/>
      <c r="D71" s="11"/>
      <c r="E71" s="106"/>
      <c r="F71" s="11"/>
    </row>
    <row r="72" ht="21.75" customHeight="1">
      <c r="A72" s="104" t="s">
        <v>640</v>
      </c>
      <c r="B72" s="10"/>
      <c r="C72" s="10"/>
      <c r="D72" s="11"/>
      <c r="E72" s="106"/>
      <c r="F72" s="11"/>
    </row>
    <row r="73" ht="21.75" customHeight="1">
      <c r="A73" s="104" t="s">
        <v>641</v>
      </c>
      <c r="B73" s="10"/>
      <c r="C73" s="10"/>
      <c r="D73" s="11"/>
      <c r="E73" s="106"/>
      <c r="F73" s="1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0">
    <mergeCell ref="A29:D29"/>
    <mergeCell ref="E29:F29"/>
    <mergeCell ref="A30:D30"/>
    <mergeCell ref="E30:F30"/>
    <mergeCell ref="A31:D31"/>
    <mergeCell ref="E31:F31"/>
    <mergeCell ref="E32:F32"/>
    <mergeCell ref="A32:D32"/>
    <mergeCell ref="A33:D33"/>
    <mergeCell ref="E33:F33"/>
    <mergeCell ref="A34:D34"/>
    <mergeCell ref="E34:F34"/>
    <mergeCell ref="A36:F36"/>
    <mergeCell ref="E37:F37"/>
    <mergeCell ref="A41:D41"/>
    <mergeCell ref="E41:F41"/>
    <mergeCell ref="A42:D42"/>
    <mergeCell ref="E42:F42"/>
    <mergeCell ref="A43:D43"/>
    <mergeCell ref="E43:F43"/>
    <mergeCell ref="E44:F44"/>
    <mergeCell ref="A44:D44"/>
    <mergeCell ref="A45:D45"/>
    <mergeCell ref="E45:F45"/>
    <mergeCell ref="A46:D46"/>
    <mergeCell ref="E46:F46"/>
    <mergeCell ref="A47:D47"/>
    <mergeCell ref="E47:F47"/>
    <mergeCell ref="A48:D48"/>
    <mergeCell ref="E48:F48"/>
    <mergeCell ref="A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E56:F56"/>
    <mergeCell ref="A56:D56"/>
    <mergeCell ref="A58:F58"/>
    <mergeCell ref="A59:D59"/>
    <mergeCell ref="E59:F59"/>
    <mergeCell ref="A60:D60"/>
    <mergeCell ref="E60:F60"/>
    <mergeCell ref="E61:F61"/>
    <mergeCell ref="A61:D61"/>
    <mergeCell ref="A62:D62"/>
    <mergeCell ref="E62:F62"/>
    <mergeCell ref="A63:D63"/>
    <mergeCell ref="E63:F63"/>
    <mergeCell ref="A64:D64"/>
    <mergeCell ref="E64:F64"/>
    <mergeCell ref="A70:D70"/>
    <mergeCell ref="E70:F70"/>
    <mergeCell ref="A71:D71"/>
    <mergeCell ref="E71:F71"/>
    <mergeCell ref="A72:D72"/>
    <mergeCell ref="E72:F72"/>
    <mergeCell ref="A73:D73"/>
    <mergeCell ref="E73:F73"/>
    <mergeCell ref="A65:D65"/>
    <mergeCell ref="E65:F65"/>
    <mergeCell ref="A66:D66"/>
    <mergeCell ref="E66:F66"/>
    <mergeCell ref="A68:F68"/>
    <mergeCell ref="A69:D69"/>
    <mergeCell ref="E69:F69"/>
    <mergeCell ref="A1:F1"/>
    <mergeCell ref="A2:F2"/>
    <mergeCell ref="A4:F4"/>
    <mergeCell ref="A5:D5"/>
    <mergeCell ref="E5:F5"/>
    <mergeCell ref="A6:D6"/>
    <mergeCell ref="E6:F6"/>
    <mergeCell ref="A7:D7"/>
    <mergeCell ref="E7:F7"/>
    <mergeCell ref="A8:D8"/>
    <mergeCell ref="E8:F8"/>
    <mergeCell ref="A10:F10"/>
    <mergeCell ref="A11:D11"/>
    <mergeCell ref="E11:F11"/>
    <mergeCell ref="A12:D12"/>
    <mergeCell ref="E12:F12"/>
    <mergeCell ref="A13:D13"/>
    <mergeCell ref="E13:F13"/>
    <mergeCell ref="A14:D14"/>
    <mergeCell ref="E14:F14"/>
    <mergeCell ref="E15:F15"/>
    <mergeCell ref="A15:D15"/>
    <mergeCell ref="A16:D16"/>
    <mergeCell ref="E16:F16"/>
    <mergeCell ref="A17:D17"/>
    <mergeCell ref="E17:F17"/>
    <mergeCell ref="A18:D18"/>
    <mergeCell ref="E18:F18"/>
    <mergeCell ref="A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8:F28"/>
    <mergeCell ref="A37:D37"/>
    <mergeCell ref="A38:D38"/>
    <mergeCell ref="E38:F38"/>
    <mergeCell ref="A39:D39"/>
    <mergeCell ref="E39:F39"/>
    <mergeCell ref="A40:D40"/>
    <mergeCell ref="E40:F4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5" width="16.0"/>
    <col customWidth="1" min="6" max="6" width="14.0"/>
    <col customWidth="1" min="7" max="7" width="18.0"/>
    <col customWidth="1" min="8" max="8" width="16.0"/>
    <col customWidth="1" min="9" max="14" width="14.0"/>
    <col customWidth="1" min="15" max="26" width="8.71"/>
  </cols>
  <sheetData>
    <row r="1" ht="39.75" customHeight="1">
      <c r="A1" s="25" t="s">
        <v>642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26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9.75" customHeight="1">
      <c r="A3" s="6" t="s">
        <v>499</v>
      </c>
      <c r="B3" s="6" t="s">
        <v>644</v>
      </c>
      <c r="C3" s="6" t="s">
        <v>645</v>
      </c>
      <c r="D3" s="6" t="s">
        <v>646</v>
      </c>
      <c r="E3" s="6" t="s">
        <v>647</v>
      </c>
      <c r="F3" s="6" t="s">
        <v>648</v>
      </c>
      <c r="G3" s="6" t="s">
        <v>649</v>
      </c>
      <c r="H3" s="6" t="s">
        <v>650</v>
      </c>
      <c r="I3" s="6" t="s">
        <v>651</v>
      </c>
      <c r="J3" s="6" t="s">
        <v>652</v>
      </c>
      <c r="K3" s="6" t="s">
        <v>653</v>
      </c>
      <c r="L3" s="6" t="s">
        <v>654</v>
      </c>
      <c r="M3" s="6" t="s">
        <v>655</v>
      </c>
      <c r="N3" s="6" t="s">
        <v>44</v>
      </c>
    </row>
    <row r="4" ht="24.75" customHeight="1">
      <c r="A4" s="107">
        <v>1.0</v>
      </c>
      <c r="B4" s="107" t="s">
        <v>656</v>
      </c>
      <c r="C4" s="107" t="s">
        <v>657</v>
      </c>
      <c r="D4" s="107">
        <v>5000.0</v>
      </c>
      <c r="E4" s="107"/>
      <c r="F4" s="107" t="str">
        <f t="shared" ref="F4:F15" si="1">IF(D4&gt;0,IF(E4&gt;0,E4/D4*100,"—"),"—")</f>
        <v>—</v>
      </c>
      <c r="G4" s="107">
        <v>5000.0</v>
      </c>
      <c r="H4" s="107">
        <f>IF(E4&gt;0,E4,0)</f>
        <v>0</v>
      </c>
      <c r="I4" s="107">
        <v>300.0</v>
      </c>
      <c r="J4" s="107"/>
      <c r="K4" s="107">
        <v>800.0</v>
      </c>
      <c r="L4" s="107"/>
      <c r="M4" s="107" t="str">
        <f t="shared" ref="M4:M15" si="2">IF(AND(L4&gt;0,E4&gt;0),L4/E4,"—")</f>
        <v>—</v>
      </c>
      <c r="N4" s="107" t="s">
        <v>658</v>
      </c>
    </row>
    <row r="5" ht="24.75" customHeight="1">
      <c r="A5" s="107">
        <v>2.0</v>
      </c>
      <c r="B5" s="107" t="s">
        <v>659</v>
      </c>
      <c r="C5" s="107" t="s">
        <v>657</v>
      </c>
      <c r="D5" s="107">
        <v>10000.0</v>
      </c>
      <c r="E5" s="107"/>
      <c r="F5" s="107" t="str">
        <f t="shared" si="1"/>
        <v>—</v>
      </c>
      <c r="G5" s="107">
        <v>15000.0</v>
      </c>
      <c r="H5" s="107">
        <f t="shared" ref="H5:H15" si="3">IF(ROW()-3=1,E5,H4+E5)</f>
        <v>0</v>
      </c>
      <c r="I5" s="107">
        <v>800.0</v>
      </c>
      <c r="J5" s="107"/>
      <c r="K5" s="107">
        <v>800.0</v>
      </c>
      <c r="L5" s="107"/>
      <c r="M5" s="107" t="str">
        <f t="shared" si="2"/>
        <v>—</v>
      </c>
      <c r="N5" s="107" t="s">
        <v>658</v>
      </c>
    </row>
    <row r="6" ht="24.75" customHeight="1">
      <c r="A6" s="108">
        <v>3.0</v>
      </c>
      <c r="B6" s="108" t="s">
        <v>660</v>
      </c>
      <c r="C6" s="108" t="s">
        <v>661</v>
      </c>
      <c r="D6" s="108">
        <v>20000.0</v>
      </c>
      <c r="E6" s="108"/>
      <c r="F6" s="108" t="str">
        <f t="shared" si="1"/>
        <v>—</v>
      </c>
      <c r="G6" s="108">
        <v>35000.0</v>
      </c>
      <c r="H6" s="108">
        <f t="shared" si="3"/>
        <v>0</v>
      </c>
      <c r="I6" s="108">
        <v>2000.0</v>
      </c>
      <c r="J6" s="108"/>
      <c r="K6" s="108">
        <v>1500.0</v>
      </c>
      <c r="L6" s="108"/>
      <c r="M6" s="108" t="str">
        <f t="shared" si="2"/>
        <v>—</v>
      </c>
      <c r="N6" s="108" t="s">
        <v>658</v>
      </c>
    </row>
    <row r="7" ht="24.75" customHeight="1">
      <c r="A7" s="108">
        <v>4.0</v>
      </c>
      <c r="B7" s="108" t="s">
        <v>662</v>
      </c>
      <c r="C7" s="108" t="s">
        <v>661</v>
      </c>
      <c r="D7" s="108">
        <v>40000.0</v>
      </c>
      <c r="E7" s="108"/>
      <c r="F7" s="108" t="str">
        <f t="shared" si="1"/>
        <v>—</v>
      </c>
      <c r="G7" s="108">
        <v>75000.0</v>
      </c>
      <c r="H7" s="108">
        <f t="shared" si="3"/>
        <v>0</v>
      </c>
      <c r="I7" s="108">
        <v>5000.0</v>
      </c>
      <c r="J7" s="108"/>
      <c r="K7" s="108">
        <v>1500.0</v>
      </c>
      <c r="L7" s="108"/>
      <c r="M7" s="108" t="str">
        <f t="shared" si="2"/>
        <v>—</v>
      </c>
      <c r="N7" s="108" t="s">
        <v>658</v>
      </c>
    </row>
    <row r="8" ht="24.75" customHeight="1">
      <c r="A8" s="109">
        <v>5.0</v>
      </c>
      <c r="B8" s="109" t="s">
        <v>663</v>
      </c>
      <c r="C8" s="109" t="s">
        <v>664</v>
      </c>
      <c r="D8" s="109">
        <v>80000.0</v>
      </c>
      <c r="E8" s="109"/>
      <c r="F8" s="109" t="str">
        <f t="shared" si="1"/>
        <v>—</v>
      </c>
      <c r="G8" s="109">
        <v>155000.0</v>
      </c>
      <c r="H8" s="109">
        <f t="shared" si="3"/>
        <v>0</v>
      </c>
      <c r="I8" s="109">
        <v>12000.0</v>
      </c>
      <c r="J8" s="109"/>
      <c r="K8" s="109">
        <v>3000.0</v>
      </c>
      <c r="L8" s="109"/>
      <c r="M8" s="109" t="str">
        <f t="shared" si="2"/>
        <v>—</v>
      </c>
      <c r="N8" s="109" t="s">
        <v>658</v>
      </c>
    </row>
    <row r="9" ht="24.75" customHeight="1">
      <c r="A9" s="109">
        <v>6.0</v>
      </c>
      <c r="B9" s="109" t="s">
        <v>665</v>
      </c>
      <c r="C9" s="109" t="s">
        <v>664</v>
      </c>
      <c r="D9" s="109">
        <v>160000.0</v>
      </c>
      <c r="E9" s="109"/>
      <c r="F9" s="109" t="str">
        <f t="shared" si="1"/>
        <v>—</v>
      </c>
      <c r="G9" s="109">
        <v>315000.0</v>
      </c>
      <c r="H9" s="109">
        <f t="shared" si="3"/>
        <v>0</v>
      </c>
      <c r="I9" s="109">
        <v>25000.0</v>
      </c>
      <c r="J9" s="109"/>
      <c r="K9" s="109">
        <v>3000.0</v>
      </c>
      <c r="L9" s="109"/>
      <c r="M9" s="109" t="str">
        <f t="shared" si="2"/>
        <v>—</v>
      </c>
      <c r="N9" s="109" t="s">
        <v>658</v>
      </c>
    </row>
    <row r="10" ht="24.75" customHeight="1">
      <c r="A10" s="110">
        <v>7.0</v>
      </c>
      <c r="B10" s="110" t="s">
        <v>666</v>
      </c>
      <c r="C10" s="110" t="s">
        <v>667</v>
      </c>
      <c r="D10" s="110">
        <v>320000.0</v>
      </c>
      <c r="E10" s="110"/>
      <c r="F10" s="110" t="str">
        <f t="shared" si="1"/>
        <v>—</v>
      </c>
      <c r="G10" s="110">
        <v>635000.0</v>
      </c>
      <c r="H10" s="110">
        <f t="shared" si="3"/>
        <v>0</v>
      </c>
      <c r="I10" s="110">
        <v>50000.0</v>
      </c>
      <c r="J10" s="110"/>
      <c r="K10" s="110">
        <v>6000.0</v>
      </c>
      <c r="L10" s="110"/>
      <c r="M10" s="110" t="str">
        <f t="shared" si="2"/>
        <v>—</v>
      </c>
      <c r="N10" s="110" t="s">
        <v>658</v>
      </c>
    </row>
    <row r="11" ht="24.75" customHeight="1">
      <c r="A11" s="110">
        <v>8.0</v>
      </c>
      <c r="B11" s="110" t="s">
        <v>668</v>
      </c>
      <c r="C11" s="110" t="s">
        <v>667</v>
      </c>
      <c r="D11" s="110">
        <v>640000.0</v>
      </c>
      <c r="E11" s="110"/>
      <c r="F11" s="110" t="str">
        <f t="shared" si="1"/>
        <v>—</v>
      </c>
      <c r="G11" s="110">
        <v>1275000.0</v>
      </c>
      <c r="H11" s="110">
        <f t="shared" si="3"/>
        <v>0</v>
      </c>
      <c r="I11" s="110">
        <v>100000.0</v>
      </c>
      <c r="J11" s="110"/>
      <c r="K11" s="110">
        <v>6000.0</v>
      </c>
      <c r="L11" s="110"/>
      <c r="M11" s="110" t="str">
        <f t="shared" si="2"/>
        <v>—</v>
      </c>
      <c r="N11" s="110" t="s">
        <v>658</v>
      </c>
    </row>
    <row r="12" ht="24.75" customHeight="1">
      <c r="A12" s="111">
        <v>9.0</v>
      </c>
      <c r="B12" s="111" t="s">
        <v>669</v>
      </c>
      <c r="C12" s="111" t="s">
        <v>670</v>
      </c>
      <c r="D12" s="111">
        <v>1280000.0</v>
      </c>
      <c r="E12" s="111"/>
      <c r="F12" s="111" t="str">
        <f t="shared" si="1"/>
        <v>—</v>
      </c>
      <c r="G12" s="111">
        <v>2555000.0</v>
      </c>
      <c r="H12" s="111">
        <f t="shared" si="3"/>
        <v>0</v>
      </c>
      <c r="I12" s="111">
        <v>200000.0</v>
      </c>
      <c r="J12" s="111"/>
      <c r="K12" s="111">
        <v>12000.0</v>
      </c>
      <c r="L12" s="111"/>
      <c r="M12" s="111" t="str">
        <f t="shared" si="2"/>
        <v>—</v>
      </c>
      <c r="N12" s="111" t="s">
        <v>658</v>
      </c>
    </row>
    <row r="13" ht="24.75" customHeight="1">
      <c r="A13" s="111">
        <v>10.0</v>
      </c>
      <c r="B13" s="111" t="s">
        <v>671</v>
      </c>
      <c r="C13" s="111" t="s">
        <v>670</v>
      </c>
      <c r="D13" s="111">
        <v>2560000.0</v>
      </c>
      <c r="E13" s="111"/>
      <c r="F13" s="111" t="str">
        <f t="shared" si="1"/>
        <v>—</v>
      </c>
      <c r="G13" s="111">
        <v>5115000.0</v>
      </c>
      <c r="H13" s="111">
        <f t="shared" si="3"/>
        <v>0</v>
      </c>
      <c r="I13" s="111">
        <v>400000.0</v>
      </c>
      <c r="J13" s="111"/>
      <c r="K13" s="111">
        <v>12000.0</v>
      </c>
      <c r="L13" s="111"/>
      <c r="M13" s="111" t="str">
        <f t="shared" si="2"/>
        <v>—</v>
      </c>
      <c r="N13" s="111" t="s">
        <v>658</v>
      </c>
    </row>
    <row r="14" ht="24.75" customHeight="1">
      <c r="A14" s="112">
        <v>11.0</v>
      </c>
      <c r="B14" s="112" t="s">
        <v>672</v>
      </c>
      <c r="C14" s="112" t="s">
        <v>673</v>
      </c>
      <c r="D14" s="112">
        <v>5120000.0</v>
      </c>
      <c r="E14" s="112"/>
      <c r="F14" s="112" t="str">
        <f t="shared" si="1"/>
        <v>—</v>
      </c>
      <c r="G14" s="112">
        <v>1.0235E7</v>
      </c>
      <c r="H14" s="112">
        <f t="shared" si="3"/>
        <v>0</v>
      </c>
      <c r="I14" s="112">
        <v>800000.0</v>
      </c>
      <c r="J14" s="112"/>
      <c r="K14" s="112">
        <v>25000.0</v>
      </c>
      <c r="L14" s="112"/>
      <c r="M14" s="112" t="str">
        <f t="shared" si="2"/>
        <v>—</v>
      </c>
      <c r="N14" s="112" t="s">
        <v>658</v>
      </c>
    </row>
    <row r="15" ht="24.75" customHeight="1">
      <c r="A15" s="112">
        <v>12.0</v>
      </c>
      <c r="B15" s="112" t="s">
        <v>674</v>
      </c>
      <c r="C15" s="112" t="s">
        <v>673</v>
      </c>
      <c r="D15" s="112">
        <v>1.024E7</v>
      </c>
      <c r="E15" s="112"/>
      <c r="F15" s="112" t="str">
        <f t="shared" si="1"/>
        <v>—</v>
      </c>
      <c r="G15" s="112">
        <v>2.0475E7</v>
      </c>
      <c r="H15" s="112">
        <f t="shared" si="3"/>
        <v>0</v>
      </c>
      <c r="I15" s="112">
        <v>1500000.0</v>
      </c>
      <c r="J15" s="112"/>
      <c r="K15" s="112">
        <v>25000.0</v>
      </c>
      <c r="L15" s="112"/>
      <c r="M15" s="112" t="str">
        <f t="shared" si="2"/>
        <v>—</v>
      </c>
      <c r="N15" s="112" t="s">
        <v>658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3" width="12.0"/>
    <col customWidth="1" min="4" max="4" width="14.0"/>
    <col customWidth="1" min="5" max="8" width="10.0"/>
    <col customWidth="1" min="9" max="26" width="8.71"/>
  </cols>
  <sheetData>
    <row r="1" ht="39.75" customHeight="1">
      <c r="A1" s="25" t="s">
        <v>675</v>
      </c>
      <c r="B1" s="2"/>
      <c r="C1" s="2"/>
      <c r="D1" s="2"/>
      <c r="E1" s="2"/>
      <c r="F1" s="2"/>
      <c r="G1" s="2"/>
      <c r="H1" s="3"/>
    </row>
    <row r="2" ht="21.75" customHeight="1">
      <c r="A2" s="26" t="s">
        <v>676</v>
      </c>
      <c r="B2" s="2"/>
      <c r="C2" s="2"/>
      <c r="D2" s="2"/>
      <c r="E2" s="2"/>
      <c r="F2" s="2"/>
      <c r="G2" s="2"/>
      <c r="H2" s="3"/>
    </row>
    <row r="4" ht="30.0" customHeight="1">
      <c r="A4" s="113" t="s">
        <v>677</v>
      </c>
      <c r="B4" s="2"/>
      <c r="C4" s="2"/>
      <c r="D4" s="2"/>
      <c r="E4" s="2"/>
      <c r="F4" s="2"/>
      <c r="G4" s="2"/>
      <c r="H4" s="3"/>
    </row>
    <row r="5" ht="24.75" customHeight="1">
      <c r="A5" s="114" t="s">
        <v>36</v>
      </c>
      <c r="B5" s="114" t="s">
        <v>678</v>
      </c>
      <c r="C5" s="114" t="s">
        <v>679</v>
      </c>
      <c r="D5" s="114" t="s">
        <v>44</v>
      </c>
      <c r="E5" s="114" t="s">
        <v>680</v>
      </c>
      <c r="F5" s="114" t="s">
        <v>681</v>
      </c>
      <c r="G5" s="114" t="s">
        <v>682</v>
      </c>
      <c r="H5" s="114" t="s">
        <v>683</v>
      </c>
    </row>
    <row r="6" ht="21.75" customHeight="1">
      <c r="A6" s="38">
        <v>1.0</v>
      </c>
      <c r="B6" s="115" t="s">
        <v>684</v>
      </c>
      <c r="C6" s="38" t="s">
        <v>685</v>
      </c>
      <c r="D6" s="38" t="s">
        <v>686</v>
      </c>
      <c r="E6" s="38"/>
      <c r="F6" s="38"/>
      <c r="G6" s="38"/>
      <c r="H6" s="38"/>
    </row>
    <row r="7" ht="21.75" customHeight="1">
      <c r="A7" s="68">
        <v>2.0</v>
      </c>
      <c r="B7" s="116" t="s">
        <v>687</v>
      </c>
      <c r="C7" s="68" t="s">
        <v>685</v>
      </c>
      <c r="D7" s="68" t="s">
        <v>686</v>
      </c>
      <c r="E7" s="68"/>
      <c r="F7" s="68"/>
      <c r="G7" s="68"/>
      <c r="H7" s="68"/>
    </row>
    <row r="8" ht="21.75" customHeight="1">
      <c r="A8" s="38">
        <v>3.0</v>
      </c>
      <c r="B8" s="115" t="s">
        <v>688</v>
      </c>
      <c r="C8" s="38" t="s">
        <v>685</v>
      </c>
      <c r="D8" s="38" t="s">
        <v>686</v>
      </c>
      <c r="E8" s="38"/>
      <c r="F8" s="38"/>
      <c r="G8" s="38"/>
      <c r="H8" s="38"/>
    </row>
    <row r="9" ht="21.75" customHeight="1">
      <c r="A9" s="68">
        <v>4.0</v>
      </c>
      <c r="B9" s="116" t="s">
        <v>689</v>
      </c>
      <c r="C9" s="68" t="s">
        <v>690</v>
      </c>
      <c r="D9" s="68" t="s">
        <v>686</v>
      </c>
      <c r="E9" s="68"/>
      <c r="F9" s="68"/>
      <c r="G9" s="68"/>
      <c r="H9" s="68"/>
    </row>
    <row r="10" ht="21.75" customHeight="1">
      <c r="A10" s="38">
        <v>5.0</v>
      </c>
      <c r="B10" s="115" t="s">
        <v>691</v>
      </c>
      <c r="C10" s="38" t="s">
        <v>690</v>
      </c>
      <c r="D10" s="38" t="s">
        <v>686</v>
      </c>
      <c r="E10" s="38"/>
      <c r="F10" s="38"/>
      <c r="G10" s="38"/>
      <c r="H10" s="38"/>
    </row>
    <row r="11" ht="21.75" customHeight="1">
      <c r="A11" s="68">
        <v>6.0</v>
      </c>
      <c r="B11" s="116" t="s">
        <v>692</v>
      </c>
      <c r="C11" s="68" t="s">
        <v>690</v>
      </c>
      <c r="D11" s="68" t="s">
        <v>686</v>
      </c>
      <c r="E11" s="68"/>
      <c r="F11" s="68"/>
      <c r="G11" s="68"/>
      <c r="H11" s="68"/>
    </row>
    <row r="12" ht="21.75" customHeight="1">
      <c r="A12" s="38">
        <v>7.0</v>
      </c>
      <c r="B12" s="115" t="s">
        <v>693</v>
      </c>
      <c r="C12" s="38" t="s">
        <v>690</v>
      </c>
      <c r="D12" s="38" t="s">
        <v>686</v>
      </c>
      <c r="E12" s="38"/>
      <c r="F12" s="38"/>
      <c r="G12" s="38"/>
      <c r="H12" s="38"/>
    </row>
    <row r="13" ht="21.75" customHeight="1">
      <c r="A13" s="68">
        <v>8.0</v>
      </c>
      <c r="B13" s="116" t="s">
        <v>694</v>
      </c>
      <c r="C13" s="68" t="s">
        <v>690</v>
      </c>
      <c r="D13" s="68" t="s">
        <v>686</v>
      </c>
      <c r="E13" s="68"/>
      <c r="F13" s="68"/>
      <c r="G13" s="68"/>
      <c r="H13" s="68"/>
    </row>
    <row r="14" ht="21.75" customHeight="1">
      <c r="A14" s="38">
        <v>9.0</v>
      </c>
      <c r="B14" s="115" t="s">
        <v>695</v>
      </c>
      <c r="C14" s="38" t="s">
        <v>690</v>
      </c>
      <c r="D14" s="38" t="s">
        <v>686</v>
      </c>
      <c r="E14" s="38"/>
      <c r="F14" s="38"/>
      <c r="G14" s="38"/>
      <c r="H14" s="38"/>
    </row>
    <row r="15" ht="21.75" customHeight="1">
      <c r="A15" s="68">
        <v>10.0</v>
      </c>
      <c r="B15" s="116" t="s">
        <v>696</v>
      </c>
      <c r="C15" s="68" t="s">
        <v>690</v>
      </c>
      <c r="D15" s="68" t="s">
        <v>686</v>
      </c>
      <c r="E15" s="68"/>
      <c r="F15" s="68"/>
      <c r="G15" s="68"/>
      <c r="H15" s="68"/>
    </row>
    <row r="17" ht="30.0" customHeight="1">
      <c r="A17" s="113" t="s">
        <v>697</v>
      </c>
      <c r="B17" s="2"/>
      <c r="C17" s="2"/>
      <c r="D17" s="2"/>
      <c r="E17" s="2"/>
      <c r="F17" s="2"/>
      <c r="G17" s="2"/>
      <c r="H17" s="3"/>
    </row>
    <row r="18" ht="24.75" customHeight="1">
      <c r="A18" s="117" t="s">
        <v>36</v>
      </c>
      <c r="B18" s="117" t="s">
        <v>678</v>
      </c>
      <c r="C18" s="117" t="s">
        <v>679</v>
      </c>
      <c r="D18" s="117" t="s">
        <v>44</v>
      </c>
      <c r="E18" s="117" t="s">
        <v>680</v>
      </c>
      <c r="F18" s="117" t="s">
        <v>681</v>
      </c>
      <c r="G18" s="117" t="s">
        <v>682</v>
      </c>
      <c r="H18" s="117" t="s">
        <v>683</v>
      </c>
    </row>
    <row r="19" ht="21.75" customHeight="1">
      <c r="A19" s="38">
        <v>1.0</v>
      </c>
      <c r="B19" s="115" t="s">
        <v>698</v>
      </c>
      <c r="C19" s="38" t="s">
        <v>685</v>
      </c>
      <c r="D19" s="38" t="s">
        <v>686</v>
      </c>
      <c r="E19" s="38"/>
      <c r="F19" s="38"/>
      <c r="G19" s="38"/>
      <c r="H19" s="38"/>
    </row>
    <row r="20" ht="21.75" customHeight="1">
      <c r="A20" s="68">
        <v>2.0</v>
      </c>
      <c r="B20" s="116" t="s">
        <v>699</v>
      </c>
      <c r="C20" s="68" t="s">
        <v>685</v>
      </c>
      <c r="D20" s="68" t="s">
        <v>686</v>
      </c>
      <c r="E20" s="68"/>
      <c r="F20" s="68"/>
      <c r="G20" s="68"/>
      <c r="H20" s="68"/>
    </row>
    <row r="21" ht="21.75" customHeight="1">
      <c r="A21" s="38">
        <v>3.0</v>
      </c>
      <c r="B21" s="115" t="s">
        <v>700</v>
      </c>
      <c r="C21" s="38" t="s">
        <v>685</v>
      </c>
      <c r="D21" s="38" t="s">
        <v>686</v>
      </c>
      <c r="E21" s="38"/>
      <c r="F21" s="38"/>
      <c r="G21" s="38"/>
      <c r="H21" s="38"/>
    </row>
    <row r="22" ht="21.75" customHeight="1">
      <c r="A22" s="68">
        <v>4.0</v>
      </c>
      <c r="B22" s="116" t="s">
        <v>701</v>
      </c>
      <c r="C22" s="68" t="s">
        <v>690</v>
      </c>
      <c r="D22" s="68" t="s">
        <v>686</v>
      </c>
      <c r="E22" s="68"/>
      <c r="F22" s="68"/>
      <c r="G22" s="68"/>
      <c r="H22" s="68"/>
    </row>
    <row r="23" ht="21.75" customHeight="1">
      <c r="A23" s="38">
        <v>5.0</v>
      </c>
      <c r="B23" s="115" t="s">
        <v>702</v>
      </c>
      <c r="C23" s="38" t="s">
        <v>690</v>
      </c>
      <c r="D23" s="38" t="s">
        <v>686</v>
      </c>
      <c r="E23" s="38"/>
      <c r="F23" s="38"/>
      <c r="G23" s="38"/>
      <c r="H23" s="38"/>
    </row>
    <row r="24" ht="21.75" customHeight="1">
      <c r="A24" s="68">
        <v>6.0</v>
      </c>
      <c r="B24" s="116" t="s">
        <v>703</v>
      </c>
      <c r="C24" s="68" t="s">
        <v>690</v>
      </c>
      <c r="D24" s="68" t="s">
        <v>686</v>
      </c>
      <c r="E24" s="68"/>
      <c r="F24" s="68"/>
      <c r="G24" s="68"/>
      <c r="H24" s="68"/>
    </row>
    <row r="25" ht="21.75" customHeight="1">
      <c r="A25" s="38">
        <v>7.0</v>
      </c>
      <c r="B25" s="115" t="s">
        <v>704</v>
      </c>
      <c r="C25" s="38" t="s">
        <v>690</v>
      </c>
      <c r="D25" s="38" t="s">
        <v>686</v>
      </c>
      <c r="E25" s="38"/>
      <c r="F25" s="38"/>
      <c r="G25" s="38"/>
      <c r="H25" s="38"/>
    </row>
    <row r="26" ht="21.75" customHeight="1">
      <c r="A26" s="68">
        <v>8.0</v>
      </c>
      <c r="B26" s="116" t="s">
        <v>705</v>
      </c>
      <c r="C26" s="68" t="s">
        <v>690</v>
      </c>
      <c r="D26" s="68" t="s">
        <v>686</v>
      </c>
      <c r="E26" s="68"/>
      <c r="F26" s="68"/>
      <c r="G26" s="68"/>
      <c r="H26" s="68"/>
    </row>
    <row r="27" ht="21.75" customHeight="1">
      <c r="A27" s="38">
        <v>9.0</v>
      </c>
      <c r="B27" s="115" t="s">
        <v>706</v>
      </c>
      <c r="C27" s="38" t="s">
        <v>690</v>
      </c>
      <c r="D27" s="38" t="s">
        <v>686</v>
      </c>
      <c r="E27" s="38"/>
      <c r="F27" s="38"/>
      <c r="G27" s="38"/>
      <c r="H27" s="38"/>
    </row>
    <row r="28" ht="21.75" customHeight="1">
      <c r="A28" s="68">
        <v>10.0</v>
      </c>
      <c r="B28" s="116" t="s">
        <v>707</v>
      </c>
      <c r="C28" s="68" t="s">
        <v>690</v>
      </c>
      <c r="D28" s="68" t="s">
        <v>686</v>
      </c>
      <c r="E28" s="68"/>
      <c r="F28" s="68"/>
      <c r="G28" s="68"/>
      <c r="H28" s="68"/>
    </row>
    <row r="29" ht="15.75" customHeight="1"/>
    <row r="30" ht="30.0" customHeight="1">
      <c r="A30" s="113" t="s">
        <v>708</v>
      </c>
      <c r="B30" s="2"/>
      <c r="C30" s="2"/>
      <c r="D30" s="2"/>
      <c r="E30" s="2"/>
      <c r="F30" s="2"/>
      <c r="G30" s="2"/>
      <c r="H30" s="3"/>
    </row>
    <row r="31" ht="24.75" customHeight="1">
      <c r="A31" s="118" t="s">
        <v>36</v>
      </c>
      <c r="B31" s="118" t="s">
        <v>678</v>
      </c>
      <c r="C31" s="118" t="s">
        <v>679</v>
      </c>
      <c r="D31" s="118" t="s">
        <v>44</v>
      </c>
      <c r="E31" s="118" t="s">
        <v>680</v>
      </c>
      <c r="F31" s="118" t="s">
        <v>681</v>
      </c>
      <c r="G31" s="118" t="s">
        <v>682</v>
      </c>
      <c r="H31" s="118" t="s">
        <v>683</v>
      </c>
    </row>
    <row r="32" ht="21.75" customHeight="1">
      <c r="A32" s="38">
        <v>1.0</v>
      </c>
      <c r="B32" s="115" t="s">
        <v>709</v>
      </c>
      <c r="C32" s="38" t="s">
        <v>685</v>
      </c>
      <c r="D32" s="38" t="s">
        <v>686</v>
      </c>
      <c r="E32" s="38"/>
      <c r="F32" s="38"/>
      <c r="G32" s="38"/>
      <c r="H32" s="38"/>
    </row>
    <row r="33" ht="21.75" customHeight="1">
      <c r="A33" s="68">
        <v>2.0</v>
      </c>
      <c r="B33" s="116" t="s">
        <v>710</v>
      </c>
      <c r="C33" s="68" t="s">
        <v>685</v>
      </c>
      <c r="D33" s="68" t="s">
        <v>686</v>
      </c>
      <c r="E33" s="68"/>
      <c r="F33" s="68"/>
      <c r="G33" s="68"/>
      <c r="H33" s="68"/>
    </row>
    <row r="34" ht="21.75" customHeight="1">
      <c r="A34" s="38">
        <v>3.0</v>
      </c>
      <c r="B34" s="115" t="s">
        <v>711</v>
      </c>
      <c r="C34" s="38" t="s">
        <v>685</v>
      </c>
      <c r="D34" s="38" t="s">
        <v>686</v>
      </c>
      <c r="E34" s="38"/>
      <c r="F34" s="38"/>
      <c r="G34" s="38"/>
      <c r="H34" s="38"/>
    </row>
    <row r="35" ht="21.75" customHeight="1">
      <c r="A35" s="68">
        <v>4.0</v>
      </c>
      <c r="B35" s="116" t="s">
        <v>712</v>
      </c>
      <c r="C35" s="68" t="s">
        <v>690</v>
      </c>
      <c r="D35" s="68" t="s">
        <v>686</v>
      </c>
      <c r="E35" s="68"/>
      <c r="F35" s="68"/>
      <c r="G35" s="68"/>
      <c r="H35" s="68"/>
    </row>
    <row r="36" ht="21.75" customHeight="1">
      <c r="A36" s="38">
        <v>5.0</v>
      </c>
      <c r="B36" s="115" t="s">
        <v>713</v>
      </c>
      <c r="C36" s="38" t="s">
        <v>690</v>
      </c>
      <c r="D36" s="38" t="s">
        <v>686</v>
      </c>
      <c r="E36" s="38"/>
      <c r="F36" s="38"/>
      <c r="G36" s="38"/>
      <c r="H36" s="38"/>
    </row>
    <row r="37" ht="21.75" customHeight="1">
      <c r="A37" s="68">
        <v>6.0</v>
      </c>
      <c r="B37" s="116" t="s">
        <v>714</v>
      </c>
      <c r="C37" s="68" t="s">
        <v>690</v>
      </c>
      <c r="D37" s="68" t="s">
        <v>686</v>
      </c>
      <c r="E37" s="68"/>
      <c r="F37" s="68"/>
      <c r="G37" s="68"/>
      <c r="H37" s="68"/>
    </row>
    <row r="38" ht="21.75" customHeight="1">
      <c r="A38" s="38">
        <v>7.0</v>
      </c>
      <c r="B38" s="115" t="s">
        <v>715</v>
      </c>
      <c r="C38" s="38" t="s">
        <v>690</v>
      </c>
      <c r="D38" s="38" t="s">
        <v>686</v>
      </c>
      <c r="E38" s="38"/>
      <c r="F38" s="38"/>
      <c r="G38" s="38"/>
      <c r="H38" s="38"/>
    </row>
    <row r="39" ht="21.75" customHeight="1">
      <c r="A39" s="68">
        <v>8.0</v>
      </c>
      <c r="B39" s="116" t="s">
        <v>716</v>
      </c>
      <c r="C39" s="68" t="s">
        <v>690</v>
      </c>
      <c r="D39" s="68" t="s">
        <v>686</v>
      </c>
      <c r="E39" s="68"/>
      <c r="F39" s="68"/>
      <c r="G39" s="68"/>
      <c r="H39" s="68"/>
    </row>
    <row r="40" ht="21.75" customHeight="1">
      <c r="A40" s="38">
        <v>9.0</v>
      </c>
      <c r="B40" s="115" t="s">
        <v>717</v>
      </c>
      <c r="C40" s="38" t="s">
        <v>690</v>
      </c>
      <c r="D40" s="38" t="s">
        <v>686</v>
      </c>
      <c r="E40" s="38"/>
      <c r="F40" s="38"/>
      <c r="G40" s="38"/>
      <c r="H40" s="38"/>
    </row>
    <row r="41" ht="21.75" customHeight="1">
      <c r="A41" s="68">
        <v>10.0</v>
      </c>
      <c r="B41" s="116" t="s">
        <v>718</v>
      </c>
      <c r="C41" s="68" t="s">
        <v>690</v>
      </c>
      <c r="D41" s="68" t="s">
        <v>686</v>
      </c>
      <c r="E41" s="68"/>
      <c r="F41" s="68"/>
      <c r="G41" s="68"/>
      <c r="H41" s="6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17:H17"/>
    <mergeCell ref="A30:H30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6" width="20.0"/>
    <col customWidth="1" min="7" max="26" width="8.71"/>
  </cols>
  <sheetData>
    <row r="1" ht="39.75" customHeight="1">
      <c r="A1" s="25" t="s">
        <v>719</v>
      </c>
      <c r="B1" s="2"/>
      <c r="C1" s="2"/>
      <c r="D1" s="2"/>
      <c r="E1" s="2"/>
      <c r="F1" s="3"/>
    </row>
    <row r="2" ht="21.75" customHeight="1">
      <c r="A2" s="26" t="s">
        <v>720</v>
      </c>
      <c r="B2" s="2"/>
      <c r="C2" s="2"/>
      <c r="D2" s="2"/>
      <c r="E2" s="2"/>
      <c r="F2" s="3"/>
    </row>
    <row r="3" ht="30.0" customHeight="1">
      <c r="A3" s="119" t="s">
        <v>721</v>
      </c>
      <c r="B3" s="97" t="s">
        <v>722</v>
      </c>
      <c r="C3" s="2"/>
      <c r="D3" s="2"/>
      <c r="E3" s="2"/>
      <c r="F3" s="3"/>
    </row>
    <row r="4" ht="30.0" customHeight="1">
      <c r="A4" s="23" t="s">
        <v>723</v>
      </c>
      <c r="B4" s="120" t="s">
        <v>724</v>
      </c>
      <c r="C4" s="10"/>
      <c r="D4" s="10"/>
      <c r="E4" s="10"/>
      <c r="F4" s="11"/>
    </row>
    <row r="5" ht="30.0" customHeight="1">
      <c r="A5" s="121" t="s">
        <v>725</v>
      </c>
      <c r="B5" s="106" t="s">
        <v>726</v>
      </c>
      <c r="C5" s="10"/>
      <c r="D5" s="10"/>
      <c r="E5" s="10"/>
      <c r="F5" s="11"/>
    </row>
    <row r="6" ht="30.0" customHeight="1">
      <c r="A6" s="23" t="s">
        <v>727</v>
      </c>
      <c r="B6" s="120" t="s">
        <v>728</v>
      </c>
      <c r="C6" s="10"/>
      <c r="D6" s="10"/>
      <c r="E6" s="10"/>
      <c r="F6" s="11"/>
    </row>
    <row r="7" ht="30.0" customHeight="1">
      <c r="A7" s="121" t="s">
        <v>729</v>
      </c>
      <c r="B7" s="106" t="s">
        <v>730</v>
      </c>
      <c r="C7" s="10"/>
      <c r="D7" s="10"/>
      <c r="E7" s="10"/>
      <c r="F7" s="11"/>
    </row>
    <row r="8" ht="30.0" customHeight="1">
      <c r="A8" s="23" t="s">
        <v>731</v>
      </c>
      <c r="B8" s="120" t="s">
        <v>732</v>
      </c>
      <c r="C8" s="10"/>
      <c r="D8" s="10"/>
      <c r="E8" s="10"/>
      <c r="F8" s="11"/>
    </row>
    <row r="9" ht="30.0" customHeight="1">
      <c r="A9" s="121" t="s">
        <v>733</v>
      </c>
      <c r="B9" s="106" t="s">
        <v>734</v>
      </c>
      <c r="C9" s="10"/>
      <c r="D9" s="10"/>
      <c r="E9" s="10"/>
      <c r="F9" s="11"/>
    </row>
    <row r="10" ht="30.0" customHeight="1">
      <c r="A10" s="23" t="s">
        <v>735</v>
      </c>
      <c r="B10" s="120" t="s">
        <v>736</v>
      </c>
      <c r="C10" s="10"/>
      <c r="D10" s="10"/>
      <c r="E10" s="10"/>
      <c r="F10" s="11"/>
    </row>
    <row r="11" ht="30.0" customHeight="1">
      <c r="A11" s="121" t="s">
        <v>737</v>
      </c>
      <c r="B11" s="106" t="s">
        <v>738</v>
      </c>
      <c r="C11" s="10"/>
      <c r="D11" s="10"/>
      <c r="E11" s="10"/>
      <c r="F11" s="11"/>
    </row>
    <row r="12" ht="30.0" customHeight="1">
      <c r="A12" s="23" t="s">
        <v>739</v>
      </c>
      <c r="B12" s="120" t="s">
        <v>740</v>
      </c>
      <c r="C12" s="10"/>
      <c r="D12" s="10"/>
      <c r="E12" s="10"/>
      <c r="F12" s="11"/>
    </row>
    <row r="14" ht="27.75" customHeight="1">
      <c r="A14" s="103" t="s">
        <v>741</v>
      </c>
      <c r="B14" s="2"/>
      <c r="C14" s="2"/>
      <c r="D14" s="2"/>
      <c r="E14" s="2"/>
      <c r="F14" s="3"/>
    </row>
    <row r="15" ht="24.75" customHeight="1">
      <c r="A15" s="98" t="s">
        <v>742</v>
      </c>
      <c r="B15" s="122" t="s">
        <v>743</v>
      </c>
      <c r="C15" s="10"/>
      <c r="D15" s="10"/>
      <c r="E15" s="10"/>
      <c r="F15" s="11"/>
    </row>
    <row r="16" ht="24.75" customHeight="1">
      <c r="A16" s="123" t="s">
        <v>744</v>
      </c>
      <c r="B16" s="124" t="s">
        <v>745</v>
      </c>
      <c r="C16" s="10"/>
      <c r="D16" s="10"/>
      <c r="E16" s="10"/>
      <c r="F16" s="11"/>
    </row>
    <row r="17" ht="24.75" customHeight="1">
      <c r="A17" s="125" t="s">
        <v>746</v>
      </c>
      <c r="B17" s="126" t="s">
        <v>747</v>
      </c>
      <c r="C17" s="10"/>
      <c r="D17" s="10"/>
      <c r="E17" s="10"/>
      <c r="F17" s="11"/>
    </row>
    <row r="18" ht="24.75" customHeight="1">
      <c r="A18" s="127" t="s">
        <v>748</v>
      </c>
      <c r="B18" s="128" t="s">
        <v>749</v>
      </c>
      <c r="C18" s="10"/>
      <c r="D18" s="10"/>
      <c r="E18" s="10"/>
      <c r="F1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F1"/>
    <mergeCell ref="A2:F2"/>
    <mergeCell ref="B3:F3"/>
    <mergeCell ref="B4:F4"/>
    <mergeCell ref="B5:F5"/>
    <mergeCell ref="B6:F6"/>
    <mergeCell ref="B7:F7"/>
    <mergeCell ref="B16:F16"/>
    <mergeCell ref="B17:F17"/>
    <mergeCell ref="B18:F18"/>
    <mergeCell ref="B8:F8"/>
    <mergeCell ref="B9:F9"/>
    <mergeCell ref="B10:F10"/>
    <mergeCell ref="B11:F11"/>
    <mergeCell ref="B12:F12"/>
    <mergeCell ref="A14:F14"/>
    <mergeCell ref="B15:F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2026-05-22T03:38:21Z</dcterms:created>
  <dc:creator>openpyxl</dc:creator>
</cp:coreProperties>
</file>